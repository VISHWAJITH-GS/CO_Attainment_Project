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Times New Roman"/>
      <family val="1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7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3" fillId="3" borderId="2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justify" vertical="center" wrapText="1"/>
    </xf>
    <xf numFmtId="0" fontId="0" fillId="0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1" fillId="5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0" fontId="3" fillId="6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 wrapText="1"/>
    </xf>
    <xf numFmtId="0" fontId="1" fillId="3" borderId="6" applyAlignment="1" applyProtection="1" pivotButton="0" quotePrefix="0" xfId="0">
      <alignment horizontal="center" vertical="center" wrapText="1"/>
      <protection locked="0" hidden="0"/>
    </xf>
    <xf numFmtId="0" fontId="1" fillId="4" borderId="6" applyAlignment="1" applyProtection="1" pivotButton="0" quotePrefix="0" xfId="0">
      <alignment horizontal="center" vertical="center" wrapText="1"/>
      <protection locked="0" hidden="0"/>
    </xf>
    <xf numFmtId="0" fontId="1" fillId="6" borderId="6" applyAlignment="1" applyProtection="1" pivotButton="0" quotePrefix="0" xfId="0">
      <alignment horizontal="center"/>
      <protection locked="0" hidden="0"/>
    </xf>
    <xf numFmtId="0" fontId="0" fillId="3" borderId="6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10" fillId="0" borderId="8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" fillId="2" borderId="5" applyAlignment="1" applyProtection="1" pivotButton="0" quotePrefix="0" xfId="0">
      <alignment horizontal="center" vertical="center"/>
      <protection locked="0" hidden="0"/>
    </xf>
    <xf numFmtId="0" fontId="2" fillId="2" borderId="6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3" applyAlignment="1" applyProtection="1" pivotButton="0" quotePrefix="0" xfId="0">
      <alignment horizontal="center" vertical="center"/>
      <protection locked="0" hidden="0"/>
    </xf>
    <xf numFmtId="0" fontId="7" fillId="8" borderId="4" applyAlignment="1" applyProtection="1" pivotButton="0" quotePrefix="0" xfId="0">
      <alignment horizontal="center"/>
      <protection locked="0" hidden="0"/>
    </xf>
    <xf numFmtId="0" fontId="0" fillId="8" borderId="5" applyAlignment="1" applyProtection="1" pivotButton="0" quotePrefix="0" xfId="0">
      <alignment horizontal="center"/>
      <protection locked="0" hidden="0"/>
    </xf>
    <xf numFmtId="0" fontId="0" fillId="8" borderId="6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7" fillId="8" borderId="1" applyAlignment="1" applyProtection="1" pivotButton="0" quotePrefix="0" xfId="0">
      <alignment horizontal="center"/>
      <protection locked="0" hidden="0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C4" sqref="C4"/>
    </sheetView>
  </sheetViews>
  <sheetFormatPr baseColWidth="8" defaultRowHeight="14.5"/>
  <cols>
    <col width="31" customWidth="1" min="2" max="2"/>
    <col width="69.1796875" customWidth="1" min="3" max="3"/>
    <col width="24" customWidth="1" min="4" max="4"/>
    <col width="17.81640625" customWidth="1" min="5" max="5"/>
    <col width="17.26953125" customWidth="1" min="6" max="6"/>
  </cols>
  <sheetData>
    <row r="1" ht="18.5" customHeight="1">
      <c r="B1" s="1" t="n"/>
      <c r="C1" s="9" t="inlineStr">
        <is>
          <t xml:space="preserve">Academic Year : </t>
        </is>
      </c>
    </row>
    <row r="2" ht="18.5" customHeight="1">
      <c r="B2" s="10" t="inlineStr">
        <is>
          <t>Sub code/ Sub Name:</t>
        </is>
      </c>
      <c r="C2" s="9" t="inlineStr">
        <is>
          <t>21CSPK0/ Deep Learning</t>
        </is>
      </c>
      <c r="D2" s="9" t="n"/>
    </row>
    <row r="3" ht="18.5" customHeight="1">
      <c r="B3" s="10" t="inlineStr">
        <is>
          <t xml:space="preserve">Faculty Incharge: </t>
        </is>
      </c>
      <c r="C3" s="44" t="inlineStr">
        <is>
          <t>Mr. S. Santhana Hari</t>
        </is>
      </c>
      <c r="D3" s="9" t="n"/>
    </row>
    <row r="4" ht="18.5" customHeight="1">
      <c r="B4" s="10" t="inlineStr">
        <is>
          <t xml:space="preserve">Semester: </t>
        </is>
      </c>
      <c r="C4" s="9" t="inlineStr">
        <is>
          <t>VII</t>
        </is>
      </c>
      <c r="D4" s="9" t="n"/>
    </row>
    <row r="5" ht="29" customFormat="1" customHeight="1" s="12">
      <c r="B5" s="11" t="inlineStr">
        <is>
          <t>CO</t>
        </is>
      </c>
      <c r="C5" s="11" t="inlineStr">
        <is>
          <t>Course Outcome</t>
        </is>
      </c>
      <c r="D5" s="11" t="inlineStr">
        <is>
          <t>TCE Proficiency Scale</t>
        </is>
      </c>
      <c r="E5" s="11" t="inlineStr">
        <is>
          <t>Expected Proficiency in %</t>
        </is>
      </c>
      <c r="F5" s="11" t="inlineStr">
        <is>
          <t>Expected Attainment Level %</t>
        </is>
      </c>
    </row>
    <row r="6">
      <c r="B6" s="13" t="inlineStr">
        <is>
          <t>CO1</t>
        </is>
      </c>
      <c r="C6" s="14" t="n"/>
      <c r="D6" s="15" t="n"/>
      <c r="E6" s="15" t="n"/>
      <c r="F6" s="15" t="n"/>
    </row>
    <row r="7">
      <c r="B7" s="13" t="inlineStr">
        <is>
          <t>CO2</t>
        </is>
      </c>
      <c r="C7" s="16" t="n"/>
      <c r="D7" s="15" t="n"/>
      <c r="E7" s="15" t="n"/>
      <c r="F7" s="15" t="n"/>
    </row>
    <row r="8" ht="15.5" customHeight="1">
      <c r="B8" s="17" t="inlineStr">
        <is>
          <t>CO3</t>
        </is>
      </c>
      <c r="C8" s="18" t="n"/>
      <c r="D8" s="15" t="n"/>
      <c r="E8" s="15" t="n"/>
      <c r="F8" s="15" t="n"/>
    </row>
    <row r="9" ht="15.5" customHeight="1">
      <c r="B9" s="17" t="inlineStr">
        <is>
          <t>CO4</t>
        </is>
      </c>
      <c r="C9" s="18" t="n"/>
      <c r="D9" s="15" t="n"/>
      <c r="E9" s="15" t="n"/>
      <c r="F9" s="15" t="n"/>
    </row>
    <row r="10" ht="15.5" customHeight="1">
      <c r="B10" s="17" t="inlineStr">
        <is>
          <t>CO5</t>
        </is>
      </c>
      <c r="C10" s="18" t="n"/>
      <c r="D10" s="15" t="n"/>
      <c r="E10" s="15" t="n"/>
      <c r="F10" s="15" t="n"/>
    </row>
    <row r="11" ht="15.5" customHeight="1">
      <c r="B11" s="17" t="inlineStr">
        <is>
          <t>CO6</t>
        </is>
      </c>
      <c r="C11" s="18" t="n"/>
      <c r="D11" s="15" t="n"/>
      <c r="E11" s="15" t="n"/>
      <c r="F11" s="1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00"/>
  <sheetViews>
    <sheetView tabSelected="1" zoomScale="14" workbookViewId="0">
      <selection activeCell="AA8" sqref="AA8:AM8"/>
    </sheetView>
  </sheetViews>
  <sheetFormatPr baseColWidth="8" defaultColWidth="9.1796875" defaultRowHeight="14.5"/>
  <cols>
    <col width="5.453125" customWidth="1" style="19" min="1" max="1"/>
    <col width="12.7265625" customWidth="1" style="19" min="2" max="2"/>
    <col width="19.26953125" customWidth="1" style="19" min="3" max="3"/>
    <col width="16.7265625" customWidth="1" style="19" min="4" max="4"/>
    <col width="9.1796875" customWidth="1" style="7" min="5" max="11"/>
    <col width="9.1796875" customWidth="1" style="19" min="12" max="12"/>
    <col width="9.1796875" customWidth="1" style="7" min="13" max="13"/>
    <col width="9.1796875" customWidth="1" style="19" min="14" max="16"/>
    <col width="9.1796875" customWidth="1" style="7" min="17" max="18"/>
    <col width="9.1796875" customWidth="1" style="7" min="19" max="19"/>
    <col width="9.1796875" customWidth="1" style="7" min="20" max="24"/>
    <col width="9.1796875" customWidth="1" style="19" min="25" max="26"/>
    <col width="9.1796875" customWidth="1" style="7" min="27" max="33"/>
    <col width="9.1796875" customWidth="1" style="19" min="34" max="34"/>
    <col width="9.1796875" customWidth="1" style="7" min="35" max="35"/>
    <col width="9.1796875" customWidth="1" style="19" min="36" max="38"/>
    <col width="9.1796875" customWidth="1" style="7" min="39" max="46"/>
    <col width="9.1796875" customWidth="1" style="19" min="47" max="71"/>
    <col width="6.81640625" bestFit="1" customWidth="1" min="78" max="78"/>
    <col width="9.1796875" customWidth="1" style="19" min="79" max="79"/>
    <col width="9.7265625" customWidth="1" min="80" max="85"/>
    <col width="9.1796875" customWidth="1" style="19" min="86" max="16384"/>
  </cols>
  <sheetData>
    <row r="1" ht="11.25" customHeight="1">
      <c r="BT1" s="46" t="inlineStr">
        <is>
          <t>CO BASED TOTAL MARKS 
(Internal Assessment only) out of 200</t>
        </is>
      </c>
    </row>
    <row r="2" hidden="1" ht="15" customHeight="1"/>
    <row r="3" ht="32.25" customHeight="1">
      <c r="E3" s="49" t="inlineStr">
        <is>
          <t>CAT 1</t>
        </is>
      </c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AA3" s="54" t="inlineStr">
        <is>
          <t>CAT 2</t>
        </is>
      </c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20" t="n"/>
      <c r="AT3" s="20" t="n"/>
    </row>
    <row r="4" ht="23.25" customHeight="1">
      <c r="E4" s="48" t="inlineStr">
        <is>
          <t>PART -A</t>
        </is>
      </c>
      <c r="F4" s="60" t="n"/>
      <c r="G4" s="60" t="n"/>
      <c r="H4" s="60" t="n"/>
      <c r="I4" s="60" t="n"/>
      <c r="J4" s="61" t="n"/>
      <c r="K4" s="48" t="inlineStr">
        <is>
          <t>PART-B</t>
        </is>
      </c>
      <c r="L4" s="60" t="n"/>
      <c r="M4" s="60" t="n"/>
      <c r="N4" s="60" t="n"/>
      <c r="O4" s="60" t="n"/>
      <c r="P4" s="61" t="n"/>
      <c r="Q4" s="48" t="inlineStr">
        <is>
          <t>PART-C</t>
        </is>
      </c>
      <c r="R4" s="60" t="n"/>
      <c r="S4" s="60" t="n"/>
      <c r="T4" s="60" t="n"/>
      <c r="U4" s="60" t="n"/>
      <c r="V4" s="60" t="n"/>
      <c r="W4" s="60" t="n"/>
      <c r="X4" s="61" t="n"/>
      <c r="Y4" s="48" t="n"/>
      <c r="AA4" s="62" t="inlineStr">
        <is>
          <t>PART-A</t>
        </is>
      </c>
      <c r="AB4" s="60" t="n"/>
      <c r="AC4" s="60" t="n"/>
      <c r="AD4" s="60" t="n"/>
      <c r="AE4" s="60" t="n"/>
      <c r="AF4" s="61" t="n"/>
      <c r="AG4" s="48" t="inlineStr">
        <is>
          <t>PART-B</t>
        </is>
      </c>
      <c r="AH4" s="60" t="n"/>
      <c r="AI4" s="60" t="n"/>
      <c r="AJ4" s="60" t="n"/>
      <c r="AK4" s="60" t="n"/>
      <c r="AL4" s="61" t="n"/>
      <c r="AM4" s="48" t="inlineStr">
        <is>
          <t>PART-C</t>
        </is>
      </c>
      <c r="AN4" s="60" t="n"/>
      <c r="AO4" s="60" t="n"/>
      <c r="AP4" s="60" t="n"/>
      <c r="AQ4" s="60" t="n"/>
      <c r="AR4" s="60" t="n"/>
      <c r="AS4" s="60" t="n"/>
      <c r="AT4" s="61" t="n"/>
      <c r="AU4" s="22" t="n"/>
      <c r="BD4" s="48" t="inlineStr">
        <is>
          <t>ASSIGNMENT 1</t>
        </is>
      </c>
      <c r="BE4" s="60" t="n"/>
      <c r="BF4" s="60" t="n"/>
      <c r="BG4" s="60" t="n"/>
      <c r="BH4" s="60" t="n"/>
      <c r="BI4" s="61" t="n"/>
      <c r="BK4" s="19" t="inlineStr">
        <is>
          <t xml:space="preserve">    </t>
        </is>
      </c>
      <c r="BL4" s="48" t="inlineStr">
        <is>
          <t>ASSIGNMENT 2</t>
        </is>
      </c>
      <c r="BM4" s="60" t="n"/>
      <c r="BN4" s="60" t="n"/>
      <c r="BO4" s="60" t="n"/>
      <c r="BP4" s="60" t="n"/>
      <c r="BQ4" s="61" t="n"/>
      <c r="BT4" s="63" t="n"/>
      <c r="BU4" s="63" t="n"/>
      <c r="BV4" s="63" t="n"/>
      <c r="BW4" s="63" t="n"/>
      <c r="BX4" s="63" t="n"/>
      <c r="BY4" s="63" t="n"/>
      <c r="BZ4" s="63" t="n"/>
      <c r="CB4" s="47" t="inlineStr">
        <is>
          <t>CO BASED Percentage of marks        (Internal Assessment only)</t>
        </is>
      </c>
      <c r="CC4" s="64" t="n"/>
      <c r="CD4" s="64" t="n"/>
      <c r="CE4" s="64" t="n"/>
      <c r="CF4" s="64" t="n"/>
      <c r="CG4" s="65" t="n"/>
    </row>
    <row r="5" ht="30" customHeight="1">
      <c r="A5" s="43" t="inlineStr">
        <is>
          <t>Sno</t>
        </is>
      </c>
      <c r="B5" s="43" t="inlineStr">
        <is>
          <t>Reg No</t>
        </is>
      </c>
      <c r="C5" s="43" t="inlineStr">
        <is>
          <t xml:space="preserve">Name of the student </t>
        </is>
      </c>
      <c r="D5" s="39" t="inlineStr">
        <is>
          <t>Corresponding CO#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3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CO5</t>
        </is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3" t="n"/>
      <c r="AW5" s="2" t="inlineStr">
        <is>
          <t>CO1</t>
        </is>
      </c>
      <c r="AX5" s="2" t="inlineStr">
        <is>
          <t>CO2</t>
        </is>
      </c>
      <c r="AY5" s="2" t="inlineStr">
        <is>
          <t>CO3</t>
        </is>
      </c>
      <c r="AZ5" s="8" t="inlineStr">
        <is>
          <t>CO4</t>
        </is>
      </c>
      <c r="BA5" s="8" t="inlineStr">
        <is>
          <t>CO5</t>
        </is>
      </c>
      <c r="BB5" s="8" t="inlineStr">
        <is>
          <t>CO6</t>
        </is>
      </c>
      <c r="BD5" s="2" t="inlineStr">
        <is>
          <t>CO1</t>
        </is>
      </c>
      <c r="BE5" s="2" t="inlineStr">
        <is>
          <t>CO2</t>
        </is>
      </c>
      <c r="BF5" s="2" t="inlineStr">
        <is>
          <t>CO3</t>
        </is>
      </c>
      <c r="BG5" s="2" t="inlineStr">
        <is>
          <t>CO4</t>
        </is>
      </c>
      <c r="BH5" s="2" t="inlineStr">
        <is>
          <t>CO5</t>
        </is>
      </c>
      <c r="BI5" s="2" t="inlineStr">
        <is>
          <t>CO6</t>
        </is>
      </c>
      <c r="BJ5" s="24" t="n"/>
      <c r="BL5" s="2" t="inlineStr">
        <is>
          <t>CO4</t>
        </is>
      </c>
      <c r="BM5" s="2" t="inlineStr">
        <is>
          <t>CO4</t>
        </is>
      </c>
      <c r="BN5" s="2" t="inlineStr">
        <is>
          <t>CO5</t>
        </is>
      </c>
      <c r="BO5" s="2" t="inlineStr">
        <is>
          <t>CO6</t>
        </is>
      </c>
      <c r="BR5" s="24" t="n"/>
      <c r="BT5" s="34" t="inlineStr">
        <is>
          <t>CO1</t>
        </is>
      </c>
      <c r="BU5" s="34" t="inlineStr">
        <is>
          <t>CO2</t>
        </is>
      </c>
      <c r="BV5" s="34" t="inlineStr">
        <is>
          <t>CO3</t>
        </is>
      </c>
      <c r="BW5" s="34" t="inlineStr">
        <is>
          <t>CO4</t>
        </is>
      </c>
      <c r="BX5" s="34" t="inlineStr">
        <is>
          <t>CO5</t>
        </is>
      </c>
      <c r="BY5" s="34" t="inlineStr">
        <is>
          <t>CO6</t>
        </is>
      </c>
      <c r="BZ5" s="34" t="inlineStr">
        <is>
          <t>Total</t>
        </is>
      </c>
      <c r="CB5" s="34" t="inlineStr">
        <is>
          <t>CO1</t>
        </is>
      </c>
      <c r="CC5" s="34" t="inlineStr">
        <is>
          <t>CO2</t>
        </is>
      </c>
      <c r="CD5" s="34" t="inlineStr">
        <is>
          <t>CO3</t>
        </is>
      </c>
      <c r="CE5" s="34" t="inlineStr">
        <is>
          <t>CO4</t>
        </is>
      </c>
      <c r="CF5" s="34" t="inlineStr">
        <is>
          <t>CO5</t>
        </is>
      </c>
      <c r="CG5" s="34" t="inlineStr">
        <is>
          <t>CO6</t>
        </is>
      </c>
    </row>
    <row r="6">
      <c r="A6" s="43" t="n"/>
      <c r="B6" s="43" t="n"/>
      <c r="C6" s="43" t="n"/>
      <c r="D6" s="40" t="inlineStr">
        <is>
          <t>Question Number</t>
        </is>
      </c>
      <c r="E6" s="3" t="inlineStr">
        <is>
          <t>A1</t>
        </is>
      </c>
      <c r="F6" s="3" t="inlineStr">
        <is>
          <t>A2</t>
        </is>
      </c>
      <c r="G6" s="3" t="inlineStr">
        <is>
          <t>A3</t>
        </is>
      </c>
      <c r="H6" s="3" t="inlineStr">
        <is>
          <t>A4</t>
        </is>
      </c>
      <c r="I6" s="3" t="inlineStr">
        <is>
          <t>A5</t>
        </is>
      </c>
      <c r="J6" s="3" t="inlineStr">
        <is>
          <t>A6</t>
        </is>
      </c>
      <c r="K6" s="3" t="inlineStr">
        <is>
          <t>B1</t>
        </is>
      </c>
      <c r="L6" s="3" t="inlineStr">
        <is>
          <t>B2</t>
        </is>
      </c>
      <c r="M6" s="3" t="inlineStr">
        <is>
          <t>B3</t>
        </is>
      </c>
      <c r="N6" s="3" t="inlineStr">
        <is>
          <t>B4</t>
        </is>
      </c>
      <c r="O6" s="3" t="inlineStr">
        <is>
          <t>B5</t>
        </is>
      </c>
      <c r="P6" s="3" t="inlineStr">
        <is>
          <t>B6</t>
        </is>
      </c>
      <c r="Q6" s="3" t="inlineStr">
        <is>
          <t>C1</t>
        </is>
      </c>
      <c r="R6" s="3" t="inlineStr">
        <is>
          <t>C2</t>
        </is>
      </c>
      <c r="S6" s="3" t="inlineStr">
        <is>
          <t>C3</t>
        </is>
      </c>
      <c r="T6" s="3" t="inlineStr">
        <is>
          <t>C4</t>
        </is>
      </c>
      <c r="U6" s="3" t="inlineStr">
        <is>
          <t>C5</t>
        </is>
      </c>
      <c r="V6" s="3" t="inlineStr">
        <is>
          <t>C6</t>
        </is>
      </c>
      <c r="W6" s="3" t="inlineStr">
        <is>
          <t>C7</t>
        </is>
      </c>
      <c r="X6" s="3" t="inlineStr">
        <is>
          <t>C8</t>
        </is>
      </c>
      <c r="Y6" s="25" t="inlineStr">
        <is>
          <t>Total</t>
        </is>
      </c>
      <c r="AA6" s="3" t="inlineStr">
        <is>
          <t>A1</t>
        </is>
      </c>
      <c r="AB6" s="3" t="inlineStr">
        <is>
          <t>A2</t>
        </is>
      </c>
      <c r="AC6" s="3" t="inlineStr">
        <is>
          <t>A3</t>
        </is>
      </c>
      <c r="AD6" s="3" t="inlineStr">
        <is>
          <t>A4</t>
        </is>
      </c>
      <c r="AE6" s="3" t="inlineStr">
        <is>
          <t>A5</t>
        </is>
      </c>
      <c r="AF6" s="3" t="inlineStr">
        <is>
          <t>A6</t>
        </is>
      </c>
      <c r="AG6" s="3" t="inlineStr">
        <is>
          <t>B1</t>
        </is>
      </c>
      <c r="AH6" s="3" t="inlineStr">
        <is>
          <t>B2</t>
        </is>
      </c>
      <c r="AI6" s="3" t="inlineStr">
        <is>
          <t>B3</t>
        </is>
      </c>
      <c r="AJ6" s="3" t="n"/>
      <c r="AK6" s="3" t="n"/>
      <c r="AL6" s="3" t="n"/>
      <c r="AM6" s="3" t="inlineStr">
        <is>
          <t>C1</t>
        </is>
      </c>
      <c r="AN6" s="3" t="inlineStr">
        <is>
          <t>C2</t>
        </is>
      </c>
      <c r="AO6" s="3" t="inlineStr">
        <is>
          <t>C3</t>
        </is>
      </c>
      <c r="AP6" s="3" t="inlineStr">
        <is>
          <t>C4</t>
        </is>
      </c>
      <c r="AQ6" s="3" t="inlineStr">
        <is>
          <t>C5</t>
        </is>
      </c>
      <c r="AR6" s="3" t="inlineStr">
        <is>
          <t>C6</t>
        </is>
      </c>
      <c r="AS6" s="3" t="inlineStr">
        <is>
          <t>C7</t>
        </is>
      </c>
      <c r="AT6" s="3" t="inlineStr">
        <is>
          <t>C8</t>
        </is>
      </c>
      <c r="AU6" s="25" t="inlineStr">
        <is>
          <t>Total</t>
        </is>
      </c>
      <c r="AW6" s="26" t="n"/>
      <c r="AX6" s="26" t="n"/>
      <c r="AY6" s="26" t="n"/>
      <c r="AZ6" s="26" t="n"/>
      <c r="BA6" s="26" t="n"/>
      <c r="BB6" s="26" t="n"/>
      <c r="BD6" s="3" t="inlineStr">
        <is>
          <t>A1</t>
        </is>
      </c>
      <c r="BE6" s="3" t="inlineStr">
        <is>
          <t>A2</t>
        </is>
      </c>
      <c r="BF6" s="3" t="inlineStr">
        <is>
          <t>A3</t>
        </is>
      </c>
      <c r="BG6" s="3" t="inlineStr">
        <is>
          <t>A4</t>
        </is>
      </c>
      <c r="BH6" s="3" t="inlineStr">
        <is>
          <t>A5</t>
        </is>
      </c>
      <c r="BI6" s="3" t="inlineStr">
        <is>
          <t>A6</t>
        </is>
      </c>
      <c r="BJ6" s="27" t="inlineStr">
        <is>
          <t>Total</t>
        </is>
      </c>
      <c r="BL6" s="3" t="inlineStr">
        <is>
          <t>A1</t>
        </is>
      </c>
      <c r="BM6" s="3" t="inlineStr">
        <is>
          <t>A2</t>
        </is>
      </c>
      <c r="BN6" s="3" t="inlineStr">
        <is>
          <t>A3</t>
        </is>
      </c>
      <c r="BO6" s="3" t="inlineStr">
        <is>
          <t>A4</t>
        </is>
      </c>
      <c r="BP6" s="3" t="inlineStr">
        <is>
          <t>A5</t>
        </is>
      </c>
      <c r="BQ6" s="3" t="inlineStr">
        <is>
          <t>A6</t>
        </is>
      </c>
      <c r="BR6" s="27" t="inlineStr">
        <is>
          <t>Total</t>
        </is>
      </c>
      <c r="BU6" s="35" t="n"/>
      <c r="BV6" s="35" t="n"/>
      <c r="BW6" s="35" t="n"/>
      <c r="BX6" s="35" t="n"/>
      <c r="BY6" s="35" t="n"/>
      <c r="CB6" s="35" t="n"/>
      <c r="CC6" s="35" t="n"/>
      <c r="CD6" s="35" t="n"/>
      <c r="CE6" s="35" t="n"/>
      <c r="CF6" s="35" t="n"/>
      <c r="CG6" s="35" t="n"/>
    </row>
    <row r="7" ht="15.5" customHeight="1">
      <c r="A7" s="43" t="n"/>
      <c r="B7" s="43" t="n"/>
      <c r="C7" s="43" t="n"/>
      <c r="D7" s="41" t="inlineStr">
        <is>
          <t>Max Marks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31">
        <f>SUM(E7:P7)+(IF(Q7&lt;&gt;"",Q7,R7))+(IF(S7&lt;&gt;"",S7,T7))+(IF(U7&lt;&gt;"",U7,V7))+(IF(W7&lt;&gt;"",W7,X7))</f>
        <v/>
      </c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31">
        <f>SUM(AA7:AL7)+(IF(AM7&lt;&gt;"",AM7,AN7))+(IF(AO7&lt;&gt;"",AO7,AP7))+(IF(AQ7&lt;&gt;"",AQ7,AR7))+(IF(AS7&lt;&gt;"",AS7,AT7))</f>
        <v/>
      </c>
      <c r="AW7" s="32">
        <f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/>
      </c>
      <c r="AX7" s="32">
        <f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/>
      </c>
      <c r="AY7" s="32">
        <f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/>
      </c>
      <c r="AZ7" s="32">
        <f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/>
      </c>
      <c r="BA7" s="32">
        <f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/>
      </c>
      <c r="BB7" s="32">
        <f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/>
      </c>
      <c r="BD7" s="2" t="n">
        <v>12</v>
      </c>
      <c r="BE7" s="2" t="n">
        <v>14</v>
      </c>
      <c r="BF7" s="2" t="n">
        <v>14</v>
      </c>
      <c r="BG7" s="2" t="n">
        <v>0</v>
      </c>
      <c r="BH7" s="2" t="n">
        <v>0</v>
      </c>
      <c r="BI7" s="2" t="n">
        <v>0</v>
      </c>
      <c r="BJ7" s="33">
        <f>SUM(BD7:BI7)</f>
        <v/>
      </c>
      <c r="BL7" s="2" t="n">
        <v>8</v>
      </c>
      <c r="BM7" s="2" t="n">
        <v>8</v>
      </c>
      <c r="BN7" s="2" t="n">
        <v>12</v>
      </c>
      <c r="BO7" s="2" t="n">
        <v>12</v>
      </c>
      <c r="BP7" s="2" t="n"/>
      <c r="BQ7" s="2" t="n"/>
      <c r="BR7" s="33">
        <f>SUM(BL7:BQ7)</f>
        <v/>
      </c>
      <c r="BT7" s="36">
        <f>SUMPRODUCT(($AW$5:$BQ$5="CO1")*AW7:BQ7)</f>
        <v/>
      </c>
      <c r="BU7" s="36">
        <f>SUMPRODUCT(($AW$5:$BR$5="CO2")*AW7:BR7)</f>
        <v/>
      </c>
      <c r="BV7" s="36">
        <f>SUMPRODUCT(($AW$5:$BR$5="CO3")*AW7:BR7)</f>
        <v/>
      </c>
      <c r="BW7" s="36">
        <f>SUMPRODUCT(($AW$5:$BR$5="CO4")*AW7:BR7)</f>
        <v/>
      </c>
      <c r="BX7" s="36">
        <f>SUMPRODUCT(($AW$5:$BR$5="CO5")*AW7:BR7)</f>
        <v/>
      </c>
      <c r="BY7" s="36">
        <f>SUMPRODUCT(($AW$5:$BR$5="CO6")*AW7:BR7)</f>
        <v/>
      </c>
      <c r="BZ7" s="36">
        <f>SUM(BT7:BY7)</f>
        <v/>
      </c>
      <c r="CB7" s="36" t="n">
        <v>100</v>
      </c>
      <c r="CC7" s="36" t="n">
        <v>100</v>
      </c>
      <c r="CD7" s="36" t="n">
        <v>100</v>
      </c>
      <c r="CE7" s="36" t="n">
        <v>100</v>
      </c>
      <c r="CF7" s="36" t="n">
        <v>100</v>
      </c>
      <c r="CG7" s="36" t="n">
        <v>100</v>
      </c>
    </row>
    <row r="8" ht="15.5" customHeight="1">
      <c r="A8" s="43" t="n">
        <v>1</v>
      </c>
      <c r="B8" s="43" t="inlineStr">
        <is>
          <t>CHIRANJEEV O</t>
        </is>
      </c>
      <c r="C8" s="43" t="inlineStr">
        <is>
          <t>SECTION C</t>
        </is>
      </c>
      <c r="D8" s="4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28">
        <f>SUM(E8:P8)+(IF(Q8&lt;&gt;"",Q8,R8))+(IF(S8&lt;&gt;"",S8,T8))+(IF(U8&lt;&gt;"",U8,V8))+(IF(W8&lt;&gt;"",W8,X8))</f>
        <v/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31">
        <f>SUM(AA8:AL8)+(IF(AM8&lt;&gt;"",AM8,AN8))+(IF(AO8&lt;&gt;"",AO8,AP8))+(IF(AQ8&lt;&gt;"",AQ8,AR8))+(IF(AS8&lt;&gt;"",AS8,AT8))</f>
        <v/>
      </c>
      <c r="AW8" s="32">
        <f>SUMPRODUCT(($E$5:$P$5="CO1")*(E8:P8))
+SUMPRODUCT(($AA$5:$AL$5="CO1")*(AA8:AL8))
+IF($Q$5="CO1",IF(Q8&lt;&gt;"",Q8,R8),0)
+IF($S$5="CO1",IF(S8&lt;&gt;"",S8,T8),0)
+IF($U$5="CO1",IF(U8&lt;&gt;"",U8,V8),0)
+IF($W$5="CO1",IF(W8&lt;&gt;"",W8,X8),0)
+IF($AM$5="CO1",IF(AM8&lt;&gt;"",AM8,AN8),0)
+IF($AO$5="CO1",IF(AO8&lt;&gt;"",AO8,AP8),0)
+IF($AQ$5="CO1",IF(AQ8&lt;&gt;"",AQ8,AR8),0)
+IF($AS$5="CO1",IF(AS8&lt;&gt;"",AS8,AT8),0)</f>
        <v/>
      </c>
      <c r="AX8" s="32">
        <f>SUMPRODUCT(($E$5:$P$5="CO2")*(E8:P8))
+SUMPRODUCT(($AA$5:$AL$5="CO2")*(AA8:AL8))
+IF($Q$5="CO2",IF(R8&lt;&gt;"",R8,S8),0)
+IF($S$5="CO2",IF(T8&lt;&gt;"",T8,U8),0)
+IF($U$5="CO2",IF(V8&lt;&gt;"",V8,W8),0)
+IF($W$5="CO2",IF(X8&lt;&gt;"",X8,Y8),0)
+IF($AM$5="CO2",IF(AN8&lt;&gt;"",AN8,AO8),0)
+IF($AO$5="CO2",IF(AP8&lt;&gt;"",AP8,AQ8),0)
+IF($AQ$5="CO2",IF(AR8&lt;&gt;"",AR8,AS8),0)
+IF($AS$5="CO2",IF(AT8&lt;&gt;"",AT8,AU8),0)</f>
        <v/>
      </c>
      <c r="AY8" s="32">
        <f>SUMPRODUCT(($E$5:$P$5="CO3")*(E8:P8))
+SUMPRODUCT(($AA$5:$AL$5="CO3")*(AA8:AL8))
+IF($Q$5="CO3",IF(Q8&lt;&gt;"",Q8,R8),0)
+IF($S$5="CO3",IF(S8&lt;&gt;"",S8,T8),0)
+IF($U$5="CO3",IF(U8&lt;&gt;"",U8,V8),0)
+IF($W$5="CO3",IF(W8&lt;&gt;"",W8,X8),0)
+IF($AM$5="CO3",IF(AM8&lt;&gt;"",AM8,AN8),0)
+IF($AO$5="CO3",IF(AO8&lt;&gt;"",AO8,AP8),0)
+IF($AQ$5="CO3",IF(AQ8&lt;&gt;"",AQ8,AR8),0)
+IF($AS$5="CO3",IF(AS8&lt;&gt;"",AS8,AT8),0)</f>
        <v/>
      </c>
      <c r="AZ8" s="32">
        <f>SUMPRODUCT(($E$5:$P$5="CO4")*(E8:P8))
+SUMPRODUCT(($AA$5:$AL$5="CO4")*(AA8:AL8))
+IF($Q$5="CO4",IF(Q8&lt;&gt;"",Q8,R8),0)
+IF($S$5="CO4",IF(S8&lt;&gt;"",S8,T8),0)
+IF($U$5="CO4",IF(U8&lt;&gt;"",U8,V8),0)
+IF($W$5="CO4",IF(W8&lt;&gt;"",W8,X8),0)
+IF($AM$5="CO4",IF(AM8&lt;&gt;"",AM8,AN8),0)
+IF($AO$5="CO4",IF(AO8&lt;&gt;"",AO8,AP8),0)
+IF($AQ$5="CO4",IF(AQ8&lt;&gt;"",AQ8,AR8),0)
+IF($AS$5="CO4",IF(AS8&lt;&gt;"",AS8,AT8),0)</f>
        <v/>
      </c>
      <c r="BA8" s="32">
        <f>SUMPRODUCT(($E$5:$P$5="CO5")*(E8:P8))
+SUMPRODUCT(($AA$5:$AL$5="CO5")*(AA8:AL8))
+IF($Q$5="CO5",IF(Q8&lt;&gt;"",Q8,R8),0)
+IF($S$5="CO5",IF(S8&lt;&gt;"",S8,T8),0)
+IF($U$5="CO5",IF(U8&lt;&gt;"",U8,V8),0)
+IF($W$5="CO5",IF(W8&lt;&gt;"",W8,X8),0)
+IF($AM$5="CO5",IF(AM8&lt;&gt;"",AM8,AN8),0)
+IF($AO$5="CO5",IF(AO8&lt;&gt;"",AO8,AP8),0)
+IF($AQ$5="CO5",IF(AQ8&lt;&gt;"",AQ8,AR8),0)
+IF($AS$5="CO5",IF(AS8&lt;&gt;"",AS8,AT8),0)</f>
        <v/>
      </c>
      <c r="BB8" s="32">
        <f>SUMPRODUCT(($E$5:$P$5="CO6")*(E8:P8))
+SUMPRODUCT(($AA$5:$AL$5="CO6")*(AA8:AL8))
+IF($Q$5="CO6",IF(Q8&lt;&gt;"",Q8,R8),0)
+IF($S$5="CO6",IF(S8&lt;&gt;"",S8,T8),0)
+IF($U$5="CO6",IF(U8&lt;&gt;"",U8,V8),0)
+IF($W$5="CO6",IF(W8&lt;&gt;"",W8,X8),0)
+IF($AM$5="CO6",IF(AM8&lt;&gt;"",AM8,AN8),0)
+IF($AO$5="CO6",IF(AO8&lt;&gt;"",AO8,AP8),0)
+IF($AQ$5="CO6",IF(AQ8&lt;&gt;"",AQ8,AR8),0)
+IF($AS$5="CO6",IF(AS8&lt;&gt;"",AS8,AT8),0)</f>
        <v/>
      </c>
      <c r="BD8" s="30" t="n">
        <v>12</v>
      </c>
      <c r="BE8" s="30" t="n">
        <v>14</v>
      </c>
      <c r="BF8" s="30" t="n">
        <v>14</v>
      </c>
      <c r="BG8" s="5" t="n"/>
      <c r="BH8" s="5" t="n"/>
      <c r="BI8" s="5" t="n"/>
      <c r="BJ8" s="25">
        <f>SUM(BD8:BI8)</f>
        <v/>
      </c>
      <c r="BL8" s="5" t="n">
        <v>8</v>
      </c>
      <c r="BM8" s="5" t="n">
        <v>8</v>
      </c>
      <c r="BN8" s="5" t="n">
        <v>12</v>
      </c>
      <c r="BO8" s="5" t="n">
        <v>12</v>
      </c>
      <c r="BP8" s="5" t="n"/>
      <c r="BQ8" s="5" t="n"/>
      <c r="BR8" s="33">
        <f>SUM(BL8:BQ8)</f>
        <v/>
      </c>
      <c r="BT8" s="36">
        <f>SUMPRODUCT(($AW$5:$BQ$5="CO1")*AW8:BQ8)</f>
        <v/>
      </c>
      <c r="BU8" s="37">
        <f>SUMPRODUCT(($AW$5:$BR$5="CO2")*AW8:BR8)</f>
        <v/>
      </c>
      <c r="BV8" s="37">
        <f>SUMPRODUCT(($AW$5:$BR$5="CO3")*AW8:BR8)</f>
        <v/>
      </c>
      <c r="BW8" s="37">
        <f>SUMPRODUCT(($AW$5:$BR$5="CO4")*AW8:BR8)</f>
        <v/>
      </c>
      <c r="BX8" s="37">
        <f>SUMPRODUCT(($AW$5:$BR$5="CO5")*AW8:BR8)</f>
        <v/>
      </c>
      <c r="BY8" s="37">
        <f>SUMPRODUCT(($AW$5:$BR$5="CO6")*AW8:BR8)</f>
        <v/>
      </c>
      <c r="BZ8" s="33">
        <f>SUM(BT8:BY8)</f>
        <v/>
      </c>
      <c r="CB8" s="38">
        <f>BT8/$BT$7*100</f>
        <v/>
      </c>
      <c r="CC8" s="38">
        <f>BU8/$BU$7*100</f>
        <v/>
      </c>
      <c r="CD8" s="38">
        <f>BV8/$BV$7*100</f>
        <v/>
      </c>
      <c r="CE8" s="38">
        <f>BW8/$BW$7*100</f>
        <v/>
      </c>
      <c r="CF8" s="38">
        <f>BX8/$BX$7*100</f>
        <v/>
      </c>
      <c r="CG8" s="38">
        <f>BY8/$BY$7*100</f>
        <v/>
      </c>
    </row>
    <row r="9" ht="15.5" customHeight="1">
      <c r="A9" s="43" t="n">
        <v>2</v>
      </c>
      <c r="B9" s="43" t="inlineStr">
        <is>
          <t>DINESH KUMAR V</t>
        </is>
      </c>
      <c r="C9" s="43" t="inlineStr">
        <is>
          <t>SECTION C</t>
        </is>
      </c>
      <c r="D9" s="4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28">
        <f>SUM(E9:P9)+(IF(Q9&lt;&gt;"",Q9,R9))+(IF(S9&lt;&gt;"",S9,T9))+(IF(U9&lt;&gt;"",U9,V9))+(IF(W9&lt;&gt;"",W9,X9))</f>
        <v/>
      </c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31">
        <f>SUM(AA9:AL9)+(IF(AM9&lt;&gt;"",AM9,AN9))+(IF(AO9&lt;&gt;"",AO9,AP9))+(IF(AQ9&lt;&gt;"",AQ9,AR9))+(IF(AS9&lt;&gt;"",AS9,AT9))</f>
        <v/>
      </c>
      <c r="AW9" s="32">
        <f>SUMPRODUCT(($E$5:$P$5="CO1")*(E9:P9))
+SUMPRODUCT(($AA$5:$AL$5="CO1")*(AA9:AL9))
+IF($Q$5="CO1",IF(Q9&lt;&gt;"",Q9,R9),0)
+IF($S$5="CO1",IF(S9&lt;&gt;"",S9,T9),0)
+IF($U$5="CO1",IF(U9&lt;&gt;"",U9,V9),0)
+IF($W$5="CO1",IF(W9&lt;&gt;"",W9,X9),0)
+IF($AM$5="CO1",IF(AM9&lt;&gt;"",AM9,AN9),0)
+IF($AO$5="CO1",IF(AO9&lt;&gt;"",AO9,AP9),0)
+IF($AQ$5="CO1",IF(AQ9&lt;&gt;"",AQ9,AR9),0)
+IF($AS$5="CO1",IF(AS9&lt;&gt;"",AS9,AT9),0)</f>
        <v/>
      </c>
      <c r="AX9" s="32">
        <f>SUMPRODUCT(($E$5:$P$5="CO2")*(E9:P9))
+SUMPRODUCT(($AA$5:$AL$5="CO2")*(AA9:AL9))
+IF($Q$5="CO2",IF(R9&lt;&gt;"",R9,S9),0)
+IF($S$5="CO2",IF(T9&lt;&gt;"",T9,U9),0)
+IF($U$5="CO2",IF(V9&lt;&gt;"",V9,W9),0)
+IF($W$5="CO2",IF(X9&lt;&gt;"",X9,Y9),0)
+IF($AM$5="CO2",IF(AN9&lt;&gt;"",AN9,AO9),0)
+IF($AO$5="CO2",IF(AP9&lt;&gt;"",AP9,AQ9),0)
+IF($AQ$5="CO2",IF(AR9&lt;&gt;"",AR9,AS9),0)
+IF($AS$5="CO2",IF(AT9&lt;&gt;"",AT9,AU9),0)</f>
        <v/>
      </c>
      <c r="AY9" s="32">
        <f>SUMPRODUCT(($E$5:$P$5="CO3")*(E9:P9))
+SUMPRODUCT(($AA$5:$AL$5="CO3")*(AA9:AL9))
+IF($Q$5="CO3",IF(Q9&lt;&gt;"",Q9,R9),0)
+IF($S$5="CO3",IF(S9&lt;&gt;"",S9,T9),0)
+IF($U$5="CO3",IF(U9&lt;&gt;"",U9,V9),0)
+IF($W$5="CO3",IF(W9&lt;&gt;"",W9,X9),0)
+IF($AM$5="CO3",IF(AM9&lt;&gt;"",AM9,AN9),0)
+IF($AO$5="CO3",IF(AO9&lt;&gt;"",AO9,AP9),0)
+IF($AQ$5="CO3",IF(AQ9&lt;&gt;"",AQ9,AR9),0)
+IF($AS$5="CO3",IF(AS9&lt;&gt;"",AS9,AT9),0)</f>
        <v/>
      </c>
      <c r="AZ9" s="32">
        <f>SUMPRODUCT(($E$5:$P$5="CO4")*(E9:P9))
+SUMPRODUCT(($AA$5:$AL$5="CO4")*(AA9:AL9))
+IF($Q$5="CO4",IF(Q9&lt;&gt;"",Q9,R9),0)
+IF($S$5="CO4",IF(S9&lt;&gt;"",S9,T9),0)
+IF($U$5="CO4",IF(U9&lt;&gt;"",U9,V9),0)
+IF($W$5="CO4",IF(W9&lt;&gt;"",W9,X9),0)
+IF($AM$5="CO4",IF(AM9&lt;&gt;"",AM9,AN9),0)
+IF($AO$5="CO4",IF(AO9&lt;&gt;"",AO9,AP9),0)
+IF($AQ$5="CO4",IF(AQ9&lt;&gt;"",AQ9,AR9),0)
+IF($AS$5="CO4",IF(AS9&lt;&gt;"",AS9,AT9),0)</f>
        <v/>
      </c>
      <c r="BA9" s="32">
        <f>SUMPRODUCT(($E$5:$P$5="CO5")*(E9:P9))
+SUMPRODUCT(($AA$5:$AL$5="CO5")*(AA9:AL9))
+IF($Q$5="CO5",IF(Q9&lt;&gt;"",Q9,R9),0)
+IF($S$5="CO5",IF(S9&lt;&gt;"",S9,T9),0)
+IF($U$5="CO5",IF(U9&lt;&gt;"",U9,V9),0)
+IF($W$5="CO5",IF(W9&lt;&gt;"",W9,X9),0)
+IF($AM$5="CO5",IF(AM9&lt;&gt;"",AM9,AN9),0)
+IF($AO$5="CO5",IF(AO9&lt;&gt;"",AO9,AP9),0)
+IF($AQ$5="CO5",IF(AQ9&lt;&gt;"",AQ9,AR9),0)
+IF($AS$5="CO5",IF(AS9&lt;&gt;"",AS9,AT9),0)</f>
        <v/>
      </c>
      <c r="BB9" s="32">
        <f>SUMPRODUCT(($E$5:$P$5="CO6")*(E9:P9))
+SUMPRODUCT(($AA$5:$AL$5="CO6")*(AA9:AL9))
+IF($Q$5="CO6",IF(Q9&lt;&gt;"",Q9,R9),0)
+IF($S$5="CO6",IF(S9&lt;&gt;"",S9,T9),0)
+IF($U$5="CO6",IF(U9&lt;&gt;"",U9,V9),0)
+IF($W$5="CO6",IF(W9&lt;&gt;"",W9,X9),0)
+IF($AM$5="CO6",IF(AM9&lt;&gt;"",AM9,AN9),0)
+IF($AO$5="CO6",IF(AO9&lt;&gt;"",AO9,AP9),0)
+IF($AQ$5="CO6",IF(AQ9&lt;&gt;"",AQ9,AR9),0)
+IF($AS$5="CO6",IF(AS9&lt;&gt;"",AS9,AT9),0)</f>
        <v/>
      </c>
      <c r="BD9" s="30" t="n">
        <v>12</v>
      </c>
      <c r="BE9" s="30" t="n">
        <v>14</v>
      </c>
      <c r="BF9" s="30" t="n">
        <v>14</v>
      </c>
      <c r="BG9" s="5" t="n"/>
      <c r="BH9" s="5" t="n"/>
      <c r="BI9" s="5" t="n"/>
      <c r="BJ9" s="25">
        <f>SUM(BD9:BI9)</f>
        <v/>
      </c>
      <c r="BL9" s="5" t="n">
        <v>8</v>
      </c>
      <c r="BM9" s="5" t="n">
        <v>8</v>
      </c>
      <c r="BN9" s="5" t="n">
        <v>12</v>
      </c>
      <c r="BO9" s="5" t="n">
        <v>12</v>
      </c>
      <c r="BP9" s="5" t="n"/>
      <c r="BQ9" s="5" t="n"/>
      <c r="BR9" s="33">
        <f>SUM(BL9:BQ9)</f>
        <v/>
      </c>
      <c r="BT9" s="36">
        <f>SUMPRODUCT(($AW$5:$BQ$5="CO1")*AW9:BQ9)</f>
        <v/>
      </c>
      <c r="BU9" s="37">
        <f>SUMPRODUCT(($AW$5:$BR$5="CO2")*AW9:BR9)</f>
        <v/>
      </c>
      <c r="BV9" s="37">
        <f>SUMPRODUCT(($AW$5:$BR$5="CO3")*AW9:BR9)</f>
        <v/>
      </c>
      <c r="BW9" s="37">
        <f>SUMPRODUCT(($AW$5:$BR$5="CO4")*AW9:BR9)</f>
        <v/>
      </c>
      <c r="BX9" s="37">
        <f>SUMPRODUCT(($AW$5:$BR$5="CO5")*AW9:BR9)</f>
        <v/>
      </c>
      <c r="BY9" s="37">
        <f>SUMPRODUCT(($AW$5:$BR$5="CO6")*AW9:BR9)</f>
        <v/>
      </c>
      <c r="BZ9" s="33">
        <f>SUM(BT9:BY9)</f>
        <v/>
      </c>
      <c r="CB9" s="38">
        <f>BT9/$BT$7*100</f>
        <v/>
      </c>
      <c r="CC9" s="38">
        <f>BU9/$BU$7*100</f>
        <v/>
      </c>
      <c r="CD9" s="38">
        <f>BV9/$BV$7*100</f>
        <v/>
      </c>
      <c r="CE9" s="38">
        <f>BW9/$BW$7*100</f>
        <v/>
      </c>
      <c r="CF9" s="38">
        <f>BX9/$BX$7*100</f>
        <v/>
      </c>
      <c r="CG9" s="38">
        <f>BY9/$BY$7*100</f>
        <v/>
      </c>
    </row>
    <row r="10" ht="15.5" customHeight="1">
      <c r="A10" s="43" t="n">
        <v>3</v>
      </c>
      <c r="B10" s="43" t="inlineStr">
        <is>
          <t>DINESH KUMAR M</t>
        </is>
      </c>
      <c r="C10" s="43" t="inlineStr">
        <is>
          <t>SECTION C</t>
        </is>
      </c>
      <c r="D10" s="4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28">
        <f>SUM(E10:P10)+(IF(Q10&lt;&gt;"",Q10,R10))+(IF(S10&lt;&gt;"",S10,T10))+(IF(U10&lt;&gt;"",U10,V10))+(IF(W10&lt;&gt;"",W10,X10))</f>
        <v/>
      </c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31">
        <f>SUM(AA10:AL10)+(IF(AM10&lt;&gt;"",AM10,AN10))+(IF(AO10&lt;&gt;"",AO10,AP10))+(IF(AQ10&lt;&gt;"",AQ10,AR10))+(IF(AS10&lt;&gt;"",AS10,AT10))</f>
        <v/>
      </c>
      <c r="AW10" s="32">
        <f>SUMPRODUCT(($E$5:$P$5="CO1")*(E10:P10))
+SUMPRODUCT(($AA$5:$AL$5="CO1")*(AA10:AL10))
+IF($Q$5="CO1",IF(Q10&lt;&gt;"",Q10,R10),0)
+IF($S$5="CO1",IF(S10&lt;&gt;"",S10,T10),0)
+IF($U$5="CO1",IF(U10&lt;&gt;"",U10,V10),0)
+IF($W$5="CO1",IF(W10&lt;&gt;"",W10,X10),0)
+IF($AM$5="CO1",IF(AM10&lt;&gt;"",AM10,AN10),0)
+IF($AO$5="CO1",IF(AO10&lt;&gt;"",AO10,AP10),0)
+IF($AQ$5="CO1",IF(AQ10&lt;&gt;"",AQ10,AR10),0)
+IF($AS$5="CO1",IF(AS10&lt;&gt;"",AS10,AT10),0)</f>
        <v/>
      </c>
      <c r="AX10" s="32">
        <f>SUMPRODUCT(($E$5:$P$5="CO2")*(E10:P10))
+SUMPRODUCT(($AA$5:$AL$5="CO2")*(AA10:AL10))
+IF($Q$5="CO2",IF(R10&lt;&gt;"",R10,S10),0)
+IF($S$5="CO2",IF(T10&lt;&gt;"",T10,U10),0)
+IF($U$5="CO2",IF(V10&lt;&gt;"",V10,W10),0)
+IF($W$5="CO2",IF(X10&lt;&gt;"",X10,Y10),0)
+IF($AM$5="CO2",IF(AN10&lt;&gt;"",AN10,AO10),0)
+IF($AO$5="CO2",IF(AP10&lt;&gt;"",AP10,AQ10),0)
+IF($AQ$5="CO2",IF(AR10&lt;&gt;"",AR10,AS10),0)
+IF($AS$5="CO2",IF(AT10&lt;&gt;"",AT10,AU10),0)</f>
        <v/>
      </c>
      <c r="AY10" s="32">
        <f>SUMPRODUCT(($E$5:$P$5="CO3")*(E10:P10))
+SUMPRODUCT(($AA$5:$AL$5="CO3")*(AA10:AL10))
+IF($Q$5="CO3",IF(Q10&lt;&gt;"",Q10,R10),0)
+IF($S$5="CO3",IF(S10&lt;&gt;"",S10,T10),0)
+IF($U$5="CO3",IF(U10&lt;&gt;"",U10,V10),0)
+IF($W$5="CO3",IF(W10&lt;&gt;"",W10,X10),0)
+IF($AM$5="CO3",IF(AM10&lt;&gt;"",AM10,AN10),0)
+IF($AO$5="CO3",IF(AO10&lt;&gt;"",AO10,AP10),0)
+IF($AQ$5="CO3",IF(AQ10&lt;&gt;"",AQ10,AR10),0)
+IF($AS$5="CO3",IF(AS10&lt;&gt;"",AS10,AT10),0)</f>
        <v/>
      </c>
      <c r="AZ10" s="32">
        <f>SUMPRODUCT(($E$5:$P$5="CO4")*(E10:P10))
+SUMPRODUCT(($AA$5:$AL$5="CO4")*(AA10:AL10))
+IF($Q$5="CO4",IF(Q10&lt;&gt;"",Q10,R10),0)
+IF($S$5="CO4",IF(S10&lt;&gt;"",S10,T10),0)
+IF($U$5="CO4",IF(U10&lt;&gt;"",U10,V10),0)
+IF($W$5="CO4",IF(W10&lt;&gt;"",W10,X10),0)
+IF($AM$5="CO4",IF(AM10&lt;&gt;"",AM10,AN10),0)
+IF($AO$5="CO4",IF(AO10&lt;&gt;"",AO10,AP10),0)
+IF($AQ$5="CO4",IF(AQ10&lt;&gt;"",AQ10,AR10),0)
+IF($AS$5="CO4",IF(AS10&lt;&gt;"",AS10,AT10),0)</f>
        <v/>
      </c>
      <c r="BA10" s="32">
        <f>SUMPRODUCT(($E$5:$P$5="CO5")*(E10:P10))
+SUMPRODUCT(($AA$5:$AL$5="CO5")*(AA10:AL10))
+IF($Q$5="CO5",IF(Q10&lt;&gt;"",Q10,R10),0)
+IF($S$5="CO5",IF(S10&lt;&gt;"",S10,T10),0)
+IF($U$5="CO5",IF(U10&lt;&gt;"",U10,V10),0)
+IF($W$5="CO5",IF(W10&lt;&gt;"",W10,X10),0)
+IF($AM$5="CO5",IF(AM10&lt;&gt;"",AM10,AN10),0)
+IF($AO$5="CO5",IF(AO10&lt;&gt;"",AO10,AP10),0)
+IF($AQ$5="CO5",IF(AQ10&lt;&gt;"",AQ10,AR10),0)
+IF($AS$5="CO5",IF(AS10&lt;&gt;"",AS10,AT10),0)</f>
        <v/>
      </c>
      <c r="BB10" s="32">
        <f>SUMPRODUCT(($E$5:$P$5="CO6")*(E10:P10))
+SUMPRODUCT(($AA$5:$AL$5="CO6")*(AA10:AL10))
+IF($Q$5="CO6",IF(Q10&lt;&gt;"",Q10,R10),0)
+IF($S$5="CO6",IF(S10&lt;&gt;"",S10,T10),0)
+IF($U$5="CO6",IF(U10&lt;&gt;"",U10,V10),0)
+IF($W$5="CO6",IF(W10&lt;&gt;"",W10,X10),0)
+IF($AM$5="CO6",IF(AM10&lt;&gt;"",AM10,AN10),0)
+IF($AO$5="CO6",IF(AO10&lt;&gt;"",AO10,AP10),0)
+IF($AQ$5="CO6",IF(AQ10&lt;&gt;"",AQ10,AR10),0)
+IF($AS$5="CO6",IF(AS10&lt;&gt;"",AS10,AT10),0)</f>
        <v/>
      </c>
      <c r="BD10" s="30" t="n">
        <v>12</v>
      </c>
      <c r="BE10" s="30" t="n">
        <v>14</v>
      </c>
      <c r="BF10" s="30" t="n">
        <v>14</v>
      </c>
      <c r="BG10" s="5" t="n"/>
      <c r="BH10" s="5" t="n"/>
      <c r="BI10" s="5" t="n"/>
      <c r="BJ10" s="25">
        <f>SUM(BD10:BI10)</f>
        <v/>
      </c>
      <c r="BL10" s="5" t="n">
        <v>8</v>
      </c>
      <c r="BM10" s="5" t="n">
        <v>8</v>
      </c>
      <c r="BN10" s="5" t="n">
        <v>12</v>
      </c>
      <c r="BO10" s="5" t="n">
        <v>12</v>
      </c>
      <c r="BP10" s="5" t="n"/>
      <c r="BQ10" s="5" t="n"/>
      <c r="BR10" s="33">
        <f>SUM(BL10:BQ10)</f>
        <v/>
      </c>
      <c r="BT10" s="36">
        <f>SUMPRODUCT(($AW$5:$BQ$5="CO1")*AW10:BQ10)</f>
        <v/>
      </c>
      <c r="BU10" s="37">
        <f>SUMPRODUCT(($AW$5:$BR$5="CO2")*AW10:BR10)</f>
        <v/>
      </c>
      <c r="BV10" s="37">
        <f>SUMPRODUCT(($AW$5:$BR$5="CO3")*AW10:BR10)</f>
        <v/>
      </c>
      <c r="BW10" s="37">
        <f>SUMPRODUCT(($AW$5:$BR$5="CO4")*AW10:BR10)</f>
        <v/>
      </c>
      <c r="BX10" s="37">
        <f>SUMPRODUCT(($AW$5:$BR$5="CO5")*AW10:BR10)</f>
        <v/>
      </c>
      <c r="BY10" s="37">
        <f>SUMPRODUCT(($AW$5:$BR$5="CO6")*AW10:BR10)</f>
        <v/>
      </c>
      <c r="BZ10" s="33">
        <f>SUM(BT10:BY10)</f>
        <v/>
      </c>
      <c r="CB10" s="38">
        <f>BT10/$BT$7*100</f>
        <v/>
      </c>
      <c r="CC10" s="38">
        <f>BU10/$BU$7*100</f>
        <v/>
      </c>
      <c r="CD10" s="38">
        <f>BV10/$BV$7*100</f>
        <v/>
      </c>
      <c r="CE10" s="38">
        <f>BW10/$BW$7*100</f>
        <v/>
      </c>
      <c r="CF10" s="38">
        <f>BX10/$BX$7*100</f>
        <v/>
      </c>
      <c r="CG10" s="38">
        <f>BY10/$BY$7*100</f>
        <v/>
      </c>
    </row>
    <row r="11" ht="15.5" customHeight="1">
      <c r="A11" s="43" t="n">
        <v>4</v>
      </c>
      <c r="B11" s="43" t="inlineStr">
        <is>
          <t>GANGATHARAN D</t>
        </is>
      </c>
      <c r="C11" s="43" t="inlineStr">
        <is>
          <t>SECTION C</t>
        </is>
      </c>
      <c r="D11" s="4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28">
        <f>SUM(E11:P11)+(IF(Q11&lt;&gt;"",Q11,R11))+(IF(S11&lt;&gt;"",S11,T11))+(IF(U11&lt;&gt;"",U11,V11))+(IF(W11&lt;&gt;"",W11,X11))</f>
        <v/>
      </c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31">
        <f>SUM(AA11:AL11)+(IF(AM11&lt;&gt;"",AM11,AN11))+(IF(AO11&lt;&gt;"",AO11,AP11))+(IF(AQ11&lt;&gt;"",AQ11,AR11))+(IF(AS11&lt;&gt;"",AS11,AT11))</f>
        <v/>
      </c>
      <c r="AW11" s="32">
        <f>SUMPRODUCT(($E$5:$P$5="CO1")*(E11:P11))
+SUMPRODUCT(($AA$5:$AL$5="CO1")*(AA11:AL11))
+IF($Q$5="CO1",IF(Q11&lt;&gt;"",Q11,R11),0)
+IF($S$5="CO1",IF(S11&lt;&gt;"",S11,T11),0)
+IF($U$5="CO1",IF(U11&lt;&gt;"",U11,V11),0)
+IF($W$5="CO1",IF(W11&lt;&gt;"",W11,X11),0)
+IF($AM$5="CO1",IF(AM11&lt;&gt;"",AM11,AN11),0)
+IF($AO$5="CO1",IF(AO11&lt;&gt;"",AO11,AP11),0)
+IF($AQ$5="CO1",IF(AQ11&lt;&gt;"",AQ11,AR11),0)
+IF($AS$5="CO1",IF(AS11&lt;&gt;"",AS11,AT11),0)</f>
        <v/>
      </c>
      <c r="AX11" s="32">
        <f>SUMPRODUCT(($E$5:$P$5="CO2")*(E11:P11))
+SUMPRODUCT(($AA$5:$AL$5="CO2")*(AA11:AL11))
+IF($Q$5="CO2",IF(R11&lt;&gt;"",R11,S11),0)
+IF($S$5="CO2",IF(T11&lt;&gt;"",T11,U11),0)
+IF($U$5="CO2",IF(V11&lt;&gt;"",V11,W11),0)
+IF($W$5="CO2",IF(X11&lt;&gt;"",X11,Y11),0)
+IF($AM$5="CO2",IF(AN11&lt;&gt;"",AN11,AO11),0)
+IF($AO$5="CO2",IF(AP11&lt;&gt;"",AP11,AQ11),0)
+IF($AQ$5="CO2",IF(AR11&lt;&gt;"",AR11,AS11),0)
+IF($AS$5="CO2",IF(AT11&lt;&gt;"",AT11,AU11),0)</f>
        <v/>
      </c>
      <c r="AY11" s="32">
        <f>SUMPRODUCT(($E$5:$P$5="CO3")*(E11:P11))
+SUMPRODUCT(($AA$5:$AL$5="CO3")*(AA11:AL11))
+IF($Q$5="CO3",IF(Q11&lt;&gt;"",Q11,R11),0)
+IF($S$5="CO3",IF(S11&lt;&gt;"",S11,T11),0)
+IF($U$5="CO3",IF(U11&lt;&gt;"",U11,V11),0)
+IF($W$5="CO3",IF(W11&lt;&gt;"",W11,X11),0)
+IF($AM$5="CO3",IF(AM11&lt;&gt;"",AM11,AN11),0)
+IF($AO$5="CO3",IF(AO11&lt;&gt;"",AO11,AP11),0)
+IF($AQ$5="CO3",IF(AQ11&lt;&gt;"",AQ11,AR11),0)
+IF($AS$5="CO3",IF(AS11&lt;&gt;"",AS11,AT11),0)</f>
        <v/>
      </c>
      <c r="AZ11" s="32">
        <f>SUMPRODUCT(($E$5:$P$5="CO4")*(E11:P11))
+SUMPRODUCT(($AA$5:$AL$5="CO4")*(AA11:AL11))
+IF($Q$5="CO4",IF(Q11&lt;&gt;"",Q11,R11),0)
+IF($S$5="CO4",IF(S11&lt;&gt;"",S11,T11),0)
+IF($U$5="CO4",IF(U11&lt;&gt;"",U11,V11),0)
+IF($W$5="CO4",IF(W11&lt;&gt;"",W11,X11),0)
+IF($AM$5="CO4",IF(AM11&lt;&gt;"",AM11,AN11),0)
+IF($AO$5="CO4",IF(AO11&lt;&gt;"",AO11,AP11),0)
+IF($AQ$5="CO4",IF(AQ11&lt;&gt;"",AQ11,AR11),0)
+IF($AS$5="CO4",IF(AS11&lt;&gt;"",AS11,AT11),0)</f>
        <v/>
      </c>
      <c r="BA11" s="32">
        <f>SUMPRODUCT(($E$5:$P$5="CO5")*(E11:P11))
+SUMPRODUCT(($AA$5:$AL$5="CO5")*(AA11:AL11))
+IF($Q$5="CO5",IF(Q11&lt;&gt;"",Q11,R11),0)
+IF($S$5="CO5",IF(S11&lt;&gt;"",S11,T11),0)
+IF($U$5="CO5",IF(U11&lt;&gt;"",U11,V11),0)
+IF($W$5="CO5",IF(W11&lt;&gt;"",W11,X11),0)
+IF($AM$5="CO5",IF(AM11&lt;&gt;"",AM11,AN11),0)
+IF($AO$5="CO5",IF(AO11&lt;&gt;"",AO11,AP11),0)
+IF($AQ$5="CO5",IF(AQ11&lt;&gt;"",AQ11,AR11),0)
+IF($AS$5="CO5",IF(AS11&lt;&gt;"",AS11,AT11),0)</f>
        <v/>
      </c>
      <c r="BB11" s="32">
        <f>SUMPRODUCT(($E$5:$P$5="CO6")*(E11:P11))
+SUMPRODUCT(($AA$5:$AL$5="CO6")*(AA11:AL11))
+IF($Q$5="CO6",IF(Q11&lt;&gt;"",Q11,R11),0)
+IF($S$5="CO6",IF(S11&lt;&gt;"",S11,T11),0)
+IF($U$5="CO6",IF(U11&lt;&gt;"",U11,V11),0)
+IF($W$5="CO6",IF(W11&lt;&gt;"",W11,X11),0)
+IF($AM$5="CO6",IF(AM11&lt;&gt;"",AM11,AN11),0)
+IF($AO$5="CO6",IF(AO11&lt;&gt;"",AO11,AP11),0)
+IF($AQ$5="CO6",IF(AQ11&lt;&gt;"",AQ11,AR11),0)
+IF($AS$5="CO6",IF(AS11&lt;&gt;"",AS11,AT11),0)</f>
        <v/>
      </c>
      <c r="BD11" s="30" t="n">
        <v>12</v>
      </c>
      <c r="BE11" s="30" t="n">
        <v>14</v>
      </c>
      <c r="BF11" s="30" t="n">
        <v>14</v>
      </c>
      <c r="BG11" s="5" t="n"/>
      <c r="BH11" s="5" t="n"/>
      <c r="BI11" s="5" t="n"/>
      <c r="BJ11" s="25">
        <f>SUM(BD11:BI11)</f>
        <v/>
      </c>
      <c r="BL11" s="5" t="n">
        <v>8</v>
      </c>
      <c r="BM11" s="5" t="n">
        <v>8</v>
      </c>
      <c r="BN11" s="5" t="n">
        <v>12</v>
      </c>
      <c r="BO11" s="5" t="n">
        <v>12</v>
      </c>
      <c r="BP11" s="5" t="n"/>
      <c r="BQ11" s="5" t="n"/>
      <c r="BR11" s="33">
        <f>SUM(BL11:BQ11)</f>
        <v/>
      </c>
      <c r="BT11" s="36">
        <f>SUMPRODUCT(($AW$5:$BQ$5="CO1")*AW11:BQ11)</f>
        <v/>
      </c>
      <c r="BU11" s="37">
        <f>SUMPRODUCT(($AW$5:$BR$5="CO2")*AW11:BR11)</f>
        <v/>
      </c>
      <c r="BV11" s="37">
        <f>SUMPRODUCT(($AW$5:$BR$5="CO3")*AW11:BR11)</f>
        <v/>
      </c>
      <c r="BW11" s="37">
        <f>SUMPRODUCT(($AW$5:$BR$5="CO4")*AW11:BR11)</f>
        <v/>
      </c>
      <c r="BX11" s="37">
        <f>SUMPRODUCT(($AW$5:$BR$5="CO5")*AW11:BR11)</f>
        <v/>
      </c>
      <c r="BY11" s="37">
        <f>SUMPRODUCT(($AW$5:$BR$5="CO6")*AW11:BR11)</f>
        <v/>
      </c>
      <c r="BZ11" s="33">
        <f>SUM(BT11:BY11)</f>
        <v/>
      </c>
      <c r="CB11" s="38">
        <f>BT11/$BT$7*100</f>
        <v/>
      </c>
      <c r="CC11" s="38">
        <f>BU11/$BU$7*100</f>
        <v/>
      </c>
      <c r="CD11" s="38">
        <f>BV11/$BV$7*100</f>
        <v/>
      </c>
      <c r="CE11" s="38">
        <f>BW11/$BW$7*100</f>
        <v/>
      </c>
      <c r="CF11" s="38">
        <f>BX11/$BX$7*100</f>
        <v/>
      </c>
      <c r="CG11" s="38">
        <f>BY11/$BY$7*100</f>
        <v/>
      </c>
    </row>
    <row r="12" ht="15.5" customHeight="1">
      <c r="A12" s="43" t="n">
        <v>5</v>
      </c>
      <c r="B12" s="43" t="inlineStr">
        <is>
          <t>HARIPRIYAN K.</t>
        </is>
      </c>
      <c r="C12" s="43" t="inlineStr">
        <is>
          <t>SECTION C</t>
        </is>
      </c>
      <c r="D12" s="4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28">
        <f>SUM(E12:P12)+(IF(Q12&lt;&gt;"",Q12,R12))+(IF(S12&lt;&gt;"",S12,T12))+(IF(U12&lt;&gt;"",U12,V12))+(IF(W12&lt;&gt;"",W12,X12))</f>
        <v/>
      </c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31">
        <f>SUM(AA12:AL12)+(IF(AM12&lt;&gt;"",AM12,AN12))+(IF(AO12&lt;&gt;"",AO12,AP12))+(IF(AQ12&lt;&gt;"",AQ12,AR12))+(IF(AS12&lt;&gt;"",AS12,AT12))</f>
        <v/>
      </c>
      <c r="AW12" s="32">
        <f>SUMPRODUCT(($E$5:$P$5="CO1")*(E12:P12))
+SUMPRODUCT(($AA$5:$AL$5="CO1")*(AA12:AL12))
+IF($Q$5="CO1",IF(Q12&lt;&gt;"",Q12,R12),0)
+IF($S$5="CO1",IF(S12&lt;&gt;"",S12,T12),0)
+IF($U$5="CO1",IF(U12&lt;&gt;"",U12,V12),0)
+IF($W$5="CO1",IF(W12&lt;&gt;"",W12,X12),0)
+IF($AM$5="CO1",IF(AM12&lt;&gt;"",AM12,AN12),0)
+IF($AO$5="CO1",IF(AO12&lt;&gt;"",AO12,AP12),0)
+IF($AQ$5="CO1",IF(AQ12&lt;&gt;"",AQ12,AR12),0)
+IF($AS$5="CO1",IF(AS12&lt;&gt;"",AS12,AT12),0)</f>
        <v/>
      </c>
      <c r="AX12" s="32">
        <f>SUMPRODUCT(($E$5:$P$5="CO2")*(E12:P12))
+SUMPRODUCT(($AA$5:$AL$5="CO2")*(AA12:AL12))
+IF($Q$5="CO2",IF(R12&lt;&gt;"",R12,S12),0)
+IF($S$5="CO2",IF(T12&lt;&gt;"",T12,U12),0)
+IF($U$5="CO2",IF(V12&lt;&gt;"",V12,W12),0)
+IF($W$5="CO2",IF(X12&lt;&gt;"",X12,Y12),0)
+IF($AM$5="CO2",IF(AN12&lt;&gt;"",AN12,AO12),0)
+IF($AO$5="CO2",IF(AP12&lt;&gt;"",AP12,AQ12),0)
+IF($AQ$5="CO2",IF(AR12&lt;&gt;"",AR12,AS12),0)
+IF($AS$5="CO2",IF(AT12&lt;&gt;"",AT12,AU12),0)</f>
        <v/>
      </c>
      <c r="AY12" s="32">
        <f>SUMPRODUCT(($E$5:$P$5="CO3")*(E12:P12))
+SUMPRODUCT(($AA$5:$AL$5="CO3")*(AA12:AL12))
+IF($Q$5="CO3",IF(Q12&lt;&gt;"",Q12,R12),0)
+IF($S$5="CO3",IF(S12&lt;&gt;"",S12,T12),0)
+IF($U$5="CO3",IF(U12&lt;&gt;"",U12,V12),0)
+IF($W$5="CO3",IF(W12&lt;&gt;"",W12,X12),0)
+IF($AM$5="CO3",IF(AM12&lt;&gt;"",AM12,AN12),0)
+IF($AO$5="CO3",IF(AO12&lt;&gt;"",AO12,AP12),0)
+IF($AQ$5="CO3",IF(AQ12&lt;&gt;"",AQ12,AR12),0)
+IF($AS$5="CO3",IF(AS12&lt;&gt;"",AS12,AT12),0)</f>
        <v/>
      </c>
      <c r="AZ12" s="32">
        <f>SUMPRODUCT(($E$5:$P$5="CO4")*(E12:P12))
+SUMPRODUCT(($AA$5:$AL$5="CO4")*(AA12:AL12))
+IF($Q$5="CO4",IF(Q12&lt;&gt;"",Q12,R12),0)
+IF($S$5="CO4",IF(S12&lt;&gt;"",S12,T12),0)
+IF($U$5="CO4",IF(U12&lt;&gt;"",U12,V12),0)
+IF($W$5="CO4",IF(W12&lt;&gt;"",W12,X12),0)
+IF($AM$5="CO4",IF(AM12&lt;&gt;"",AM12,AN12),0)
+IF($AO$5="CO4",IF(AO12&lt;&gt;"",AO12,AP12),0)
+IF($AQ$5="CO4",IF(AQ12&lt;&gt;"",AQ12,AR12),0)
+IF($AS$5="CO4",IF(AS12&lt;&gt;"",AS12,AT12),0)</f>
        <v/>
      </c>
      <c r="BA12" s="32">
        <f>SUMPRODUCT(($E$5:$P$5="CO5")*(E12:P12))
+SUMPRODUCT(($AA$5:$AL$5="CO5")*(AA12:AL12))
+IF($Q$5="CO5",IF(Q12&lt;&gt;"",Q12,R12),0)
+IF($S$5="CO5",IF(S12&lt;&gt;"",S12,T12),0)
+IF($U$5="CO5",IF(U12&lt;&gt;"",U12,V12),0)
+IF($W$5="CO5",IF(W12&lt;&gt;"",W12,X12),0)
+IF($AM$5="CO5",IF(AM12&lt;&gt;"",AM12,AN12),0)
+IF($AO$5="CO5",IF(AO12&lt;&gt;"",AO12,AP12),0)
+IF($AQ$5="CO5",IF(AQ12&lt;&gt;"",AQ12,AR12),0)
+IF($AS$5="CO5",IF(AS12&lt;&gt;"",AS12,AT12),0)</f>
        <v/>
      </c>
      <c r="BB12" s="32">
        <f>SUMPRODUCT(($E$5:$P$5="CO6")*(E12:P12))
+SUMPRODUCT(($AA$5:$AL$5="CO6")*(AA12:AL12))
+IF($Q$5="CO6",IF(Q12&lt;&gt;"",Q12,R12),0)
+IF($S$5="CO6",IF(S12&lt;&gt;"",S12,T12),0)
+IF($U$5="CO6",IF(U12&lt;&gt;"",U12,V12),0)
+IF($W$5="CO6",IF(W12&lt;&gt;"",W12,X12),0)
+IF($AM$5="CO6",IF(AM12&lt;&gt;"",AM12,AN12),0)
+IF($AO$5="CO6",IF(AO12&lt;&gt;"",AO12,AP12),0)
+IF($AQ$5="CO6",IF(AQ12&lt;&gt;"",AQ12,AR12),0)
+IF($AS$5="CO6",IF(AS12&lt;&gt;"",AS12,AT12),0)</f>
        <v/>
      </c>
      <c r="BD12" s="30" t="n">
        <v>12</v>
      </c>
      <c r="BE12" s="30" t="n">
        <v>14</v>
      </c>
      <c r="BF12" s="30" t="n">
        <v>14</v>
      </c>
      <c r="BG12" s="5" t="n"/>
      <c r="BH12" s="5" t="n"/>
      <c r="BI12" s="5" t="n"/>
      <c r="BJ12" s="25">
        <f>SUM(BD12:BI12)</f>
        <v/>
      </c>
      <c r="BL12" s="5" t="n">
        <v>8</v>
      </c>
      <c r="BM12" s="5" t="n">
        <v>8</v>
      </c>
      <c r="BN12" s="5" t="n">
        <v>12</v>
      </c>
      <c r="BO12" s="5" t="n">
        <v>12</v>
      </c>
      <c r="BP12" s="5" t="n"/>
      <c r="BQ12" s="5" t="n"/>
      <c r="BR12" s="33">
        <f>SUM(BL12:BQ12)</f>
        <v/>
      </c>
      <c r="BT12" s="36">
        <f>SUMPRODUCT(($AW$5:$BQ$5="CO1")*AW12:BQ12)</f>
        <v/>
      </c>
      <c r="BU12" s="37">
        <f>SUMPRODUCT(($AW$5:$BR$5="CO2")*AW12:BR12)</f>
        <v/>
      </c>
      <c r="BV12" s="37">
        <f>SUMPRODUCT(($AW$5:$BR$5="CO3")*AW12:BR12)</f>
        <v/>
      </c>
      <c r="BW12" s="37">
        <f>SUMPRODUCT(($AW$5:$BR$5="CO4")*AW12:BR12)</f>
        <v/>
      </c>
      <c r="BX12" s="37">
        <f>SUMPRODUCT(($AW$5:$BR$5="CO5")*AW12:BR12)</f>
        <v/>
      </c>
      <c r="BY12" s="37">
        <f>SUMPRODUCT(($AW$5:$BR$5="CO6")*AW12:BR12)</f>
        <v/>
      </c>
      <c r="BZ12" s="33">
        <f>SUM(BT12:BY12)</f>
        <v/>
      </c>
      <c r="CB12" s="38">
        <f>BT12/$BT$7*100</f>
        <v/>
      </c>
      <c r="CC12" s="38">
        <f>BU12/$BU$7*100</f>
        <v/>
      </c>
      <c r="CD12" s="38">
        <f>BV12/$BV$7*100</f>
        <v/>
      </c>
      <c r="CE12" s="38">
        <f>BW12/$BW$7*100</f>
        <v/>
      </c>
      <c r="CF12" s="38">
        <f>BX12/$BX$7*100</f>
        <v/>
      </c>
      <c r="CG12" s="38">
        <f>BY12/$BY$7*100</f>
        <v/>
      </c>
    </row>
    <row r="13" ht="15.5" customHeight="1">
      <c r="A13" s="43" t="n">
        <v>6</v>
      </c>
      <c r="B13" s="43" t="inlineStr">
        <is>
          <t>JAI KARTHIK S</t>
        </is>
      </c>
      <c r="C13" s="43" t="inlineStr">
        <is>
          <t>SECTION C</t>
        </is>
      </c>
      <c r="D13" s="4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28">
        <f>SUM(E13:P13)+(IF(Q13&lt;&gt;"",Q13,R13))+(IF(S13&lt;&gt;"",S13,T13))+(IF(U13&lt;&gt;"",U13,V13))+(IF(W13&lt;&gt;"",W13,X13))</f>
        <v/>
      </c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31">
        <f>SUM(AA13:AL13)+(IF(AM13&lt;&gt;"",AM13,AN13))+(IF(AO13&lt;&gt;"",AO13,AP13))+(IF(AQ13&lt;&gt;"",AQ13,AR13))+(IF(AS13&lt;&gt;"",AS13,AT13))</f>
        <v/>
      </c>
      <c r="AW13" s="32">
        <f>SUMPRODUCT(($E$5:$P$5="CO1")*(E13:P13))
+SUMPRODUCT(($AA$5:$AL$5="CO1")*(AA13:AL13))
+IF($Q$5="CO1",IF(Q13&lt;&gt;"",Q13,R13),0)
+IF($S$5="CO1",IF(S13&lt;&gt;"",S13,T13),0)
+IF($U$5="CO1",IF(U13&lt;&gt;"",U13,V13),0)
+IF($W$5="CO1",IF(W13&lt;&gt;"",W13,X13),0)
+IF($AM$5="CO1",IF(AM13&lt;&gt;"",AM13,AN13),0)
+IF($AO$5="CO1",IF(AO13&lt;&gt;"",AO13,AP13),0)
+IF($AQ$5="CO1",IF(AQ13&lt;&gt;"",AQ13,AR13),0)
+IF($AS$5="CO1",IF(AS13&lt;&gt;"",AS13,AT13),0)</f>
        <v/>
      </c>
      <c r="AX13" s="32">
        <f>SUMPRODUCT(($E$5:$P$5="CO2")*(E13:P13))
+SUMPRODUCT(($AA$5:$AL$5="CO2")*(AA13:AL13))
+IF($Q$5="CO2",IF(R13&lt;&gt;"",R13,S13),0)
+IF($S$5="CO2",IF(T13&lt;&gt;"",T13,U13),0)
+IF($U$5="CO2",IF(V13&lt;&gt;"",V13,W13),0)
+IF($W$5="CO2",IF(X13&lt;&gt;"",X13,Y13),0)
+IF($AM$5="CO2",IF(AN13&lt;&gt;"",AN13,AO13),0)
+IF($AO$5="CO2",IF(AP13&lt;&gt;"",AP13,AQ13),0)
+IF($AQ$5="CO2",IF(AR13&lt;&gt;"",AR13,AS13),0)
+IF($AS$5="CO2",IF(AT13&lt;&gt;"",AT13,AU13),0)</f>
        <v/>
      </c>
      <c r="AY13" s="32">
        <f>SUMPRODUCT(($E$5:$P$5="CO3")*(E13:P13))
+SUMPRODUCT(($AA$5:$AL$5="CO3")*(AA13:AL13))
+IF($Q$5="CO3",IF(Q13&lt;&gt;"",Q13,R13),0)
+IF($S$5="CO3",IF(S13&lt;&gt;"",S13,T13),0)
+IF($U$5="CO3",IF(U13&lt;&gt;"",U13,V13),0)
+IF($W$5="CO3",IF(W13&lt;&gt;"",W13,X13),0)
+IF($AM$5="CO3",IF(AM13&lt;&gt;"",AM13,AN13),0)
+IF($AO$5="CO3",IF(AO13&lt;&gt;"",AO13,AP13),0)
+IF($AQ$5="CO3",IF(AQ13&lt;&gt;"",AQ13,AR13),0)
+IF($AS$5="CO3",IF(AS13&lt;&gt;"",AS13,AT13),0)</f>
        <v/>
      </c>
      <c r="AZ13" s="32">
        <f>SUMPRODUCT(($E$5:$P$5="CO4")*(E13:P13))
+SUMPRODUCT(($AA$5:$AL$5="CO4")*(AA13:AL13))
+IF($Q$5="CO4",IF(Q13&lt;&gt;"",Q13,R13),0)
+IF($S$5="CO4",IF(S13&lt;&gt;"",S13,T13),0)
+IF($U$5="CO4",IF(U13&lt;&gt;"",U13,V13),0)
+IF($W$5="CO4",IF(W13&lt;&gt;"",W13,X13),0)
+IF($AM$5="CO4",IF(AM13&lt;&gt;"",AM13,AN13),0)
+IF($AO$5="CO4",IF(AO13&lt;&gt;"",AO13,AP13),0)
+IF($AQ$5="CO4",IF(AQ13&lt;&gt;"",AQ13,AR13),0)
+IF($AS$5="CO4",IF(AS13&lt;&gt;"",AS13,AT13),0)</f>
        <v/>
      </c>
      <c r="BA13" s="32">
        <f>SUMPRODUCT(($E$5:$P$5="CO5")*(E13:P13))
+SUMPRODUCT(($AA$5:$AL$5="CO5")*(AA13:AL13))
+IF($Q$5="CO5",IF(Q13&lt;&gt;"",Q13,R13),0)
+IF($S$5="CO5",IF(S13&lt;&gt;"",S13,T13),0)
+IF($U$5="CO5",IF(U13&lt;&gt;"",U13,V13),0)
+IF($W$5="CO5",IF(W13&lt;&gt;"",W13,X13),0)
+IF($AM$5="CO5",IF(AM13&lt;&gt;"",AM13,AN13),0)
+IF($AO$5="CO5",IF(AO13&lt;&gt;"",AO13,AP13),0)
+IF($AQ$5="CO5",IF(AQ13&lt;&gt;"",AQ13,AR13),0)
+IF($AS$5="CO5",IF(AS13&lt;&gt;"",AS13,AT13),0)</f>
        <v/>
      </c>
      <c r="BB13" s="32">
        <f>SUMPRODUCT(($E$5:$P$5="CO6")*(E13:P13))
+SUMPRODUCT(($AA$5:$AL$5="CO6")*(AA13:AL13))
+IF($Q$5="CO6",IF(Q13&lt;&gt;"",Q13,R13),0)
+IF($S$5="CO6",IF(S13&lt;&gt;"",S13,T13),0)
+IF($U$5="CO6",IF(U13&lt;&gt;"",U13,V13),0)
+IF($W$5="CO6",IF(W13&lt;&gt;"",W13,X13),0)
+IF($AM$5="CO6",IF(AM13&lt;&gt;"",AM13,AN13),0)
+IF($AO$5="CO6",IF(AO13&lt;&gt;"",AO13,AP13),0)
+IF($AQ$5="CO6",IF(AQ13&lt;&gt;"",AQ13,AR13),0)
+IF($AS$5="CO6",IF(AS13&lt;&gt;"",AS13,AT13),0)</f>
        <v/>
      </c>
      <c r="BD13" s="30" t="n">
        <v>12</v>
      </c>
      <c r="BE13" s="30" t="n">
        <v>14</v>
      </c>
      <c r="BF13" s="30" t="n">
        <v>14</v>
      </c>
      <c r="BG13" s="5" t="n"/>
      <c r="BH13" s="5" t="n"/>
      <c r="BI13" s="5" t="n"/>
      <c r="BJ13" s="25">
        <f>SUM(BD13:BI13)</f>
        <v/>
      </c>
      <c r="BL13" s="5" t="n">
        <v>8</v>
      </c>
      <c r="BM13" s="5" t="n">
        <v>8</v>
      </c>
      <c r="BN13" s="5" t="n">
        <v>12</v>
      </c>
      <c r="BO13" s="5" t="n">
        <v>12</v>
      </c>
      <c r="BP13" s="5" t="n"/>
      <c r="BQ13" s="5" t="n"/>
      <c r="BR13" s="33">
        <f>SUM(BL13:BQ13)</f>
        <v/>
      </c>
      <c r="BT13" s="36">
        <f>SUMPRODUCT(($AW$5:$BQ$5="CO1")*AW13:BQ13)</f>
        <v/>
      </c>
      <c r="BU13" s="37">
        <f>SUMPRODUCT(($AW$5:$BR$5="CO2")*AW13:BR13)</f>
        <v/>
      </c>
      <c r="BV13" s="37">
        <f>SUMPRODUCT(($AW$5:$BR$5="CO3")*AW13:BR13)</f>
        <v/>
      </c>
      <c r="BW13" s="37">
        <f>SUMPRODUCT(($AW$5:$BR$5="CO4")*AW13:BR13)</f>
        <v/>
      </c>
      <c r="BX13" s="37">
        <f>SUMPRODUCT(($AW$5:$BR$5="CO5")*AW13:BR13)</f>
        <v/>
      </c>
      <c r="BY13" s="37">
        <f>SUMPRODUCT(($AW$5:$BR$5="CO6")*AW13:BR13)</f>
        <v/>
      </c>
      <c r="BZ13" s="33">
        <f>SUM(BT13:BY13)</f>
        <v/>
      </c>
      <c r="CB13" s="38">
        <f>BT13/$BT$7*100</f>
        <v/>
      </c>
      <c r="CC13" s="38">
        <f>BU13/$BU$7*100</f>
        <v/>
      </c>
      <c r="CD13" s="38">
        <f>BV13/$BV$7*100</f>
        <v/>
      </c>
      <c r="CE13" s="38">
        <f>BW13/$BW$7*100</f>
        <v/>
      </c>
      <c r="CF13" s="38">
        <f>BX13/$BX$7*100</f>
        <v/>
      </c>
      <c r="CG13" s="38">
        <f>BY13/$BY$7*100</f>
        <v/>
      </c>
    </row>
    <row r="14" ht="15.5" customHeight="1">
      <c r="A14" s="43" t="n">
        <v>7</v>
      </c>
      <c r="B14" s="43" t="inlineStr">
        <is>
          <t>JEDSON C</t>
        </is>
      </c>
      <c r="C14" s="43" t="inlineStr">
        <is>
          <t>SECTION C</t>
        </is>
      </c>
      <c r="D14" s="4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28">
        <f>SUM(E14:P14)+(IF(Q14&lt;&gt;"",Q14,R14))+(IF(S14&lt;&gt;"",S14,T14))+(IF(U14&lt;&gt;"",U14,V14))+(IF(W14&lt;&gt;"",W14,X14))</f>
        <v/>
      </c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31">
        <f>SUM(AA14:AL14)+(IF(AM14&lt;&gt;"",AM14,AN14))+(IF(AO14&lt;&gt;"",AO14,AP14))+(IF(AQ14&lt;&gt;"",AQ14,AR14))+(IF(AS14&lt;&gt;"",AS14,AT14))</f>
        <v/>
      </c>
      <c r="AW14" s="32">
        <f>SUMPRODUCT(($E$5:$P$5="CO1")*(E14:P14))
+SUMPRODUCT(($AA$5:$AL$5="CO1")*(AA14:AL14))
+IF($Q$5="CO1",IF(Q14&lt;&gt;"",Q14,R14),0)
+IF($S$5="CO1",IF(S14&lt;&gt;"",S14,T14),0)
+IF($U$5="CO1",IF(U14&lt;&gt;"",U14,V14),0)
+IF($W$5="CO1",IF(W14&lt;&gt;"",W14,X14),0)
+IF($AM$5="CO1",IF(AM14&lt;&gt;"",AM14,AN14),0)
+IF($AO$5="CO1",IF(AO14&lt;&gt;"",AO14,AP14),0)
+IF($AQ$5="CO1",IF(AQ14&lt;&gt;"",AQ14,AR14),0)
+IF($AS$5="CO1",IF(AS14&lt;&gt;"",AS14,AT14),0)</f>
        <v/>
      </c>
      <c r="AX14" s="32">
        <f>SUMPRODUCT(($E$5:$P$5="CO2")*(E14:P14))
+SUMPRODUCT(($AA$5:$AL$5="CO2")*(AA14:AL14))
+IF($Q$5="CO2",IF(R14&lt;&gt;"",R14,S14),0)
+IF($S$5="CO2",IF(T14&lt;&gt;"",T14,U14),0)
+IF($U$5="CO2",IF(V14&lt;&gt;"",V14,W14),0)
+IF($W$5="CO2",IF(X14&lt;&gt;"",X14,Y14),0)
+IF($AM$5="CO2",IF(AN14&lt;&gt;"",AN14,AO14),0)
+IF($AO$5="CO2",IF(AP14&lt;&gt;"",AP14,AQ14),0)
+IF($AQ$5="CO2",IF(AR14&lt;&gt;"",AR14,AS14),0)
+IF($AS$5="CO2",IF(AT14&lt;&gt;"",AT14,AU14),0)</f>
        <v/>
      </c>
      <c r="AY14" s="32">
        <f>SUMPRODUCT(($E$5:$P$5="CO3")*(E14:P14))
+SUMPRODUCT(($AA$5:$AL$5="CO3")*(AA14:AL14))
+IF($Q$5="CO3",IF(Q14&lt;&gt;"",Q14,R14),0)
+IF($S$5="CO3",IF(S14&lt;&gt;"",S14,T14),0)
+IF($U$5="CO3",IF(U14&lt;&gt;"",U14,V14),0)
+IF($W$5="CO3",IF(W14&lt;&gt;"",W14,X14),0)
+IF($AM$5="CO3",IF(AM14&lt;&gt;"",AM14,AN14),0)
+IF($AO$5="CO3",IF(AO14&lt;&gt;"",AO14,AP14),0)
+IF($AQ$5="CO3",IF(AQ14&lt;&gt;"",AQ14,AR14),0)
+IF($AS$5="CO3",IF(AS14&lt;&gt;"",AS14,AT14),0)</f>
        <v/>
      </c>
      <c r="AZ14" s="32">
        <f>SUMPRODUCT(($E$5:$P$5="CO4")*(E14:P14))
+SUMPRODUCT(($AA$5:$AL$5="CO4")*(AA14:AL14))
+IF($Q$5="CO4",IF(Q14&lt;&gt;"",Q14,R14),0)
+IF($S$5="CO4",IF(S14&lt;&gt;"",S14,T14),0)
+IF($U$5="CO4",IF(U14&lt;&gt;"",U14,V14),0)
+IF($W$5="CO4",IF(W14&lt;&gt;"",W14,X14),0)
+IF($AM$5="CO4",IF(AM14&lt;&gt;"",AM14,AN14),0)
+IF($AO$5="CO4",IF(AO14&lt;&gt;"",AO14,AP14),0)
+IF($AQ$5="CO4",IF(AQ14&lt;&gt;"",AQ14,AR14),0)
+IF($AS$5="CO4",IF(AS14&lt;&gt;"",AS14,AT14),0)</f>
        <v/>
      </c>
      <c r="BA14" s="32">
        <f>SUMPRODUCT(($E$5:$P$5="CO5")*(E14:P14))
+SUMPRODUCT(($AA$5:$AL$5="CO5")*(AA14:AL14))
+IF($Q$5="CO5",IF(Q14&lt;&gt;"",Q14,R14),0)
+IF($S$5="CO5",IF(S14&lt;&gt;"",S14,T14),0)
+IF($U$5="CO5",IF(U14&lt;&gt;"",U14,V14),0)
+IF($W$5="CO5",IF(W14&lt;&gt;"",W14,X14),0)
+IF($AM$5="CO5",IF(AM14&lt;&gt;"",AM14,AN14),0)
+IF($AO$5="CO5",IF(AO14&lt;&gt;"",AO14,AP14),0)
+IF($AQ$5="CO5",IF(AQ14&lt;&gt;"",AQ14,AR14),0)
+IF($AS$5="CO5",IF(AS14&lt;&gt;"",AS14,AT14),0)</f>
        <v/>
      </c>
      <c r="BB14" s="32">
        <f>SUMPRODUCT(($E$5:$P$5="CO6")*(E14:P14))
+SUMPRODUCT(($AA$5:$AL$5="CO6")*(AA14:AL14))
+IF($Q$5="CO6",IF(Q14&lt;&gt;"",Q14,R14),0)
+IF($S$5="CO6",IF(S14&lt;&gt;"",S14,T14),0)
+IF($U$5="CO6",IF(U14&lt;&gt;"",U14,V14),0)
+IF($W$5="CO6",IF(W14&lt;&gt;"",W14,X14),0)
+IF($AM$5="CO6",IF(AM14&lt;&gt;"",AM14,AN14),0)
+IF($AO$5="CO6",IF(AO14&lt;&gt;"",AO14,AP14),0)
+IF($AQ$5="CO6",IF(AQ14&lt;&gt;"",AQ14,AR14),0)
+IF($AS$5="CO6",IF(AS14&lt;&gt;"",AS14,AT14),0)</f>
        <v/>
      </c>
      <c r="BD14" s="30" t="n">
        <v>12</v>
      </c>
      <c r="BE14" s="30" t="n">
        <v>14</v>
      </c>
      <c r="BF14" s="30" t="n">
        <v>14</v>
      </c>
      <c r="BG14" s="5" t="n"/>
      <c r="BH14" s="5" t="n"/>
      <c r="BI14" s="5" t="n"/>
      <c r="BJ14" s="25">
        <f>SUM(BD14:BI14)</f>
        <v/>
      </c>
      <c r="BL14" s="5" t="n">
        <v>8</v>
      </c>
      <c r="BM14" s="5" t="n">
        <v>8</v>
      </c>
      <c r="BN14" s="5" t="n">
        <v>12</v>
      </c>
      <c r="BO14" s="5" t="n">
        <v>12</v>
      </c>
      <c r="BP14" s="5" t="n"/>
      <c r="BQ14" s="5" t="n"/>
      <c r="BR14" s="33">
        <f>SUM(BL14:BQ14)</f>
        <v/>
      </c>
      <c r="BT14" s="36">
        <f>SUMPRODUCT(($AW$5:$BQ$5="CO1")*AW14:BQ14)</f>
        <v/>
      </c>
      <c r="BU14" s="37">
        <f>SUMPRODUCT(($AW$5:$BR$5="CO2")*AW14:BR14)</f>
        <v/>
      </c>
      <c r="BV14" s="37">
        <f>SUMPRODUCT(($AW$5:$BR$5="CO3")*AW14:BR14)</f>
        <v/>
      </c>
      <c r="BW14" s="37">
        <f>SUMPRODUCT(($AW$5:$BR$5="CO4")*AW14:BR14)</f>
        <v/>
      </c>
      <c r="BX14" s="37">
        <f>SUMPRODUCT(($AW$5:$BR$5="CO5")*AW14:BR14)</f>
        <v/>
      </c>
      <c r="BY14" s="37">
        <f>SUMPRODUCT(($AW$5:$BR$5="CO6")*AW14:BR14)</f>
        <v/>
      </c>
      <c r="BZ14" s="33">
        <f>SUM(BT14:BY14)</f>
        <v/>
      </c>
      <c r="CB14" s="38">
        <f>BT14/$BT$7*100</f>
        <v/>
      </c>
      <c r="CC14" s="38">
        <f>BU14/$BU$7*100</f>
        <v/>
      </c>
      <c r="CD14" s="38">
        <f>BV14/$BV$7*100</f>
        <v/>
      </c>
      <c r="CE14" s="38">
        <f>BW14/$BW$7*100</f>
        <v/>
      </c>
      <c r="CF14" s="38">
        <f>BX14/$BX$7*100</f>
        <v/>
      </c>
      <c r="CG14" s="38">
        <f>BY14/$BY$7*100</f>
        <v/>
      </c>
    </row>
    <row r="15" ht="15.5" customHeight="1">
      <c r="A15" s="43" t="n">
        <v>8</v>
      </c>
      <c r="B15" s="43" t="inlineStr">
        <is>
          <t>JEFFREY WINSTON D</t>
        </is>
      </c>
      <c r="C15" s="43" t="inlineStr">
        <is>
          <t>SECTION C</t>
        </is>
      </c>
      <c r="D15" s="4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28">
        <f>SUM(E15:P15)+(IF(Q15&lt;&gt;"",Q15,R15))+(IF(S15&lt;&gt;"",S15,T15))+(IF(U15&lt;&gt;"",U15,V15))+(IF(W15&lt;&gt;"",W15,X15))</f>
        <v/>
      </c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31">
        <f>SUM(AA15:AL15)+(IF(AM15&lt;&gt;"",AM15,AN15))+(IF(AO15&lt;&gt;"",AO15,AP15))+(IF(AQ15&lt;&gt;"",AQ15,AR15))+(IF(AS15&lt;&gt;"",AS15,AT15))</f>
        <v/>
      </c>
      <c r="AW15" s="32">
        <f>SUMPRODUCT(($E$5:$P$5="CO1")*(E15:P15))
+SUMPRODUCT(($AA$5:$AL$5="CO1")*(AA15:AL15))
+IF($Q$5="CO1",IF(Q15&lt;&gt;"",Q15,R15),0)
+IF($S$5="CO1",IF(S15&lt;&gt;"",S15,T15),0)
+IF($U$5="CO1",IF(U15&lt;&gt;"",U15,V15),0)
+IF($W$5="CO1",IF(W15&lt;&gt;"",W15,X15),0)
+IF($AM$5="CO1",IF(AM15&lt;&gt;"",AM15,AN15),0)
+IF($AO$5="CO1",IF(AO15&lt;&gt;"",AO15,AP15),0)
+IF($AQ$5="CO1",IF(AQ15&lt;&gt;"",AQ15,AR15),0)
+IF($AS$5="CO1",IF(AS15&lt;&gt;"",AS15,AT15),0)</f>
        <v/>
      </c>
      <c r="AX15" s="32">
        <f>SUMPRODUCT(($E$5:$P$5="CO2")*(E15:P15))
+SUMPRODUCT(($AA$5:$AL$5="CO2")*(AA15:AL15))
+IF($Q$5="CO2",IF(R15&lt;&gt;"",R15,S15),0)
+IF($S$5="CO2",IF(T15&lt;&gt;"",T15,U15),0)
+IF($U$5="CO2",IF(V15&lt;&gt;"",V15,W15),0)
+IF($W$5="CO2",IF(X15&lt;&gt;"",X15,Y15),0)
+IF($AM$5="CO2",IF(AN15&lt;&gt;"",AN15,AO15),0)
+IF($AO$5="CO2",IF(AP15&lt;&gt;"",AP15,AQ15),0)
+IF($AQ$5="CO2",IF(AR15&lt;&gt;"",AR15,AS15),0)
+IF($AS$5="CO2",IF(AT15&lt;&gt;"",AT15,AU15),0)</f>
        <v/>
      </c>
      <c r="AY15" s="32">
        <f>SUMPRODUCT(($E$5:$P$5="CO3")*(E15:P15))
+SUMPRODUCT(($AA$5:$AL$5="CO3")*(AA15:AL15))
+IF($Q$5="CO3",IF(Q15&lt;&gt;"",Q15,R15),0)
+IF($S$5="CO3",IF(S15&lt;&gt;"",S15,T15),0)
+IF($U$5="CO3",IF(U15&lt;&gt;"",U15,V15),0)
+IF($W$5="CO3",IF(W15&lt;&gt;"",W15,X15),0)
+IF($AM$5="CO3",IF(AM15&lt;&gt;"",AM15,AN15),0)
+IF($AO$5="CO3",IF(AO15&lt;&gt;"",AO15,AP15),0)
+IF($AQ$5="CO3",IF(AQ15&lt;&gt;"",AQ15,AR15),0)
+IF($AS$5="CO3",IF(AS15&lt;&gt;"",AS15,AT15),0)</f>
        <v/>
      </c>
      <c r="AZ15" s="32">
        <f>SUMPRODUCT(($E$5:$P$5="CO4")*(E15:P15))
+SUMPRODUCT(($AA$5:$AL$5="CO4")*(AA15:AL15))
+IF($Q$5="CO4",IF(Q15&lt;&gt;"",Q15,R15),0)
+IF($S$5="CO4",IF(S15&lt;&gt;"",S15,T15),0)
+IF($U$5="CO4",IF(U15&lt;&gt;"",U15,V15),0)
+IF($W$5="CO4",IF(W15&lt;&gt;"",W15,X15),0)
+IF($AM$5="CO4",IF(AM15&lt;&gt;"",AM15,AN15),0)
+IF($AO$5="CO4",IF(AO15&lt;&gt;"",AO15,AP15),0)
+IF($AQ$5="CO4",IF(AQ15&lt;&gt;"",AQ15,AR15),0)
+IF($AS$5="CO4",IF(AS15&lt;&gt;"",AS15,AT15),0)</f>
        <v/>
      </c>
      <c r="BA15" s="32">
        <f>SUMPRODUCT(($E$5:$P$5="CO5")*(E15:P15))
+SUMPRODUCT(($AA$5:$AL$5="CO5")*(AA15:AL15))
+IF($Q$5="CO5",IF(Q15&lt;&gt;"",Q15,R15),0)
+IF($S$5="CO5",IF(S15&lt;&gt;"",S15,T15),0)
+IF($U$5="CO5",IF(U15&lt;&gt;"",U15,V15),0)
+IF($W$5="CO5",IF(W15&lt;&gt;"",W15,X15),0)
+IF($AM$5="CO5",IF(AM15&lt;&gt;"",AM15,AN15),0)
+IF($AO$5="CO5",IF(AO15&lt;&gt;"",AO15,AP15),0)
+IF($AQ$5="CO5",IF(AQ15&lt;&gt;"",AQ15,AR15),0)
+IF($AS$5="CO5",IF(AS15&lt;&gt;"",AS15,AT15),0)</f>
        <v/>
      </c>
      <c r="BB15" s="32">
        <f>SUMPRODUCT(($E$5:$P$5="CO6")*(E15:P15))
+SUMPRODUCT(($AA$5:$AL$5="CO6")*(AA15:AL15))
+IF($Q$5="CO6",IF(Q15&lt;&gt;"",Q15,R15),0)
+IF($S$5="CO6",IF(S15&lt;&gt;"",S15,T15),0)
+IF($U$5="CO6",IF(U15&lt;&gt;"",U15,V15),0)
+IF($W$5="CO6",IF(W15&lt;&gt;"",W15,X15),0)
+IF($AM$5="CO6",IF(AM15&lt;&gt;"",AM15,AN15),0)
+IF($AO$5="CO6",IF(AO15&lt;&gt;"",AO15,AP15),0)
+IF($AQ$5="CO6",IF(AQ15&lt;&gt;"",AQ15,AR15),0)
+IF($AS$5="CO6",IF(AS15&lt;&gt;"",AS15,AT15),0)</f>
        <v/>
      </c>
      <c r="BD15" s="30" t="n">
        <v>12</v>
      </c>
      <c r="BE15" s="30" t="n">
        <v>14</v>
      </c>
      <c r="BF15" s="30" t="n">
        <v>14</v>
      </c>
      <c r="BG15" s="5" t="n"/>
      <c r="BH15" s="5" t="n"/>
      <c r="BI15" s="5" t="n"/>
      <c r="BJ15" s="25">
        <f>SUM(BD15:BI15)</f>
        <v/>
      </c>
      <c r="BL15" s="5" t="n">
        <v>8</v>
      </c>
      <c r="BM15" s="5" t="n">
        <v>8</v>
      </c>
      <c r="BN15" s="5" t="n">
        <v>12</v>
      </c>
      <c r="BO15" s="5" t="n">
        <v>12</v>
      </c>
      <c r="BP15" s="5" t="n"/>
      <c r="BQ15" s="5" t="n"/>
      <c r="BR15" s="33">
        <f>SUM(BL15:BQ15)</f>
        <v/>
      </c>
      <c r="BT15" s="36">
        <f>SUMPRODUCT(($AW$5:$BQ$5="CO1")*AW15:BQ15)</f>
        <v/>
      </c>
      <c r="BU15" s="37">
        <f>SUMPRODUCT(($AW$5:$BR$5="CO2")*AW15:BR15)</f>
        <v/>
      </c>
      <c r="BV15" s="37">
        <f>SUMPRODUCT(($AW$5:$BR$5="CO3")*AW15:BR15)</f>
        <v/>
      </c>
      <c r="BW15" s="37">
        <f>SUMPRODUCT(($AW$5:$BR$5="CO4")*AW15:BR15)</f>
        <v/>
      </c>
      <c r="BX15" s="37">
        <f>SUMPRODUCT(($AW$5:$BR$5="CO5")*AW15:BR15)</f>
        <v/>
      </c>
      <c r="BY15" s="37">
        <f>SUMPRODUCT(($AW$5:$BR$5="CO6")*AW15:BR15)</f>
        <v/>
      </c>
      <c r="BZ15" s="33">
        <f>SUM(BT15:BY15)</f>
        <v/>
      </c>
      <c r="CB15" s="38">
        <f>BT15/$BT$7*100</f>
        <v/>
      </c>
      <c r="CC15" s="38">
        <f>BU15/$BU$7*100</f>
        <v/>
      </c>
      <c r="CD15" s="38">
        <f>BV15/$BV$7*100</f>
        <v/>
      </c>
      <c r="CE15" s="38">
        <f>BW15/$BW$7*100</f>
        <v/>
      </c>
      <c r="CF15" s="38">
        <f>BX15/$BX$7*100</f>
        <v/>
      </c>
      <c r="CG15" s="38">
        <f>BY15/$BY$7*100</f>
        <v/>
      </c>
    </row>
    <row r="16" ht="15.5" customHeight="1">
      <c r="A16" s="43" t="n">
        <v>9</v>
      </c>
      <c r="B16" s="43" t="inlineStr">
        <is>
          <t>JENUSH S</t>
        </is>
      </c>
      <c r="C16" s="43" t="inlineStr">
        <is>
          <t>SECTION C</t>
        </is>
      </c>
      <c r="D16" s="4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28">
        <f>SUM(E16:P16)+(IF(Q16&lt;&gt;"",Q16,R16))+(IF(S16&lt;&gt;"",S16,T16))+(IF(U16&lt;&gt;"",U16,V16))+(IF(W16&lt;&gt;"",W16,X16))</f>
        <v/>
      </c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31">
        <f>SUM(AA16:AL16)+(IF(AM16&lt;&gt;"",AM16,AN16))+(IF(AO16&lt;&gt;"",AO16,AP16))+(IF(AQ16&lt;&gt;"",AQ16,AR16))+(IF(AS16&lt;&gt;"",AS16,AT16))</f>
        <v/>
      </c>
      <c r="AW16" s="32">
        <f>SUMPRODUCT(($E$5:$P$5="CO1")*(E16:P16))
+SUMPRODUCT(($AA$5:$AL$5="CO1")*(AA16:AL16))
+IF($Q$5="CO1",IF(Q16&lt;&gt;"",Q16,R16),0)
+IF($S$5="CO1",IF(S16&lt;&gt;"",S16,T16),0)
+IF($U$5="CO1",IF(U16&lt;&gt;"",U16,V16),0)
+IF($W$5="CO1",IF(W16&lt;&gt;"",W16,X16),0)
+IF($AM$5="CO1",IF(AM16&lt;&gt;"",AM16,AN16),0)
+IF($AO$5="CO1",IF(AO16&lt;&gt;"",AO16,AP16),0)
+IF($AQ$5="CO1",IF(AQ16&lt;&gt;"",AQ16,AR16),0)
+IF($AS$5="CO1",IF(AS16&lt;&gt;"",AS16,AT16),0)</f>
        <v/>
      </c>
      <c r="AX16" s="32">
        <f>SUMPRODUCT(($E$5:$P$5="CO2")*(E16:P16))
+SUMPRODUCT(($AA$5:$AL$5="CO2")*(AA16:AL16))
+IF($Q$5="CO2",IF(R16&lt;&gt;"",R16,S16),0)
+IF($S$5="CO2",IF(T16&lt;&gt;"",T16,U16),0)
+IF($U$5="CO2",IF(V16&lt;&gt;"",V16,W16),0)
+IF($W$5="CO2",IF(X16&lt;&gt;"",X16,Y16),0)
+IF($AM$5="CO2",IF(AN16&lt;&gt;"",AN16,AO16),0)
+IF($AO$5="CO2",IF(AP16&lt;&gt;"",AP16,AQ16),0)
+IF($AQ$5="CO2",IF(AR16&lt;&gt;"",AR16,AS16),0)
+IF($AS$5="CO2",IF(AT16&lt;&gt;"",AT16,AU16),0)</f>
        <v/>
      </c>
      <c r="AY16" s="32">
        <f>SUMPRODUCT(($E$5:$P$5="CO3")*(E16:P16))
+SUMPRODUCT(($AA$5:$AL$5="CO3")*(AA16:AL16))
+IF($Q$5="CO3",IF(Q16&lt;&gt;"",Q16,R16),0)
+IF($S$5="CO3",IF(S16&lt;&gt;"",S16,T16),0)
+IF($U$5="CO3",IF(U16&lt;&gt;"",U16,V16),0)
+IF($W$5="CO3",IF(W16&lt;&gt;"",W16,X16),0)
+IF($AM$5="CO3",IF(AM16&lt;&gt;"",AM16,AN16),0)
+IF($AO$5="CO3",IF(AO16&lt;&gt;"",AO16,AP16),0)
+IF($AQ$5="CO3",IF(AQ16&lt;&gt;"",AQ16,AR16),0)
+IF($AS$5="CO3",IF(AS16&lt;&gt;"",AS16,AT16),0)</f>
        <v/>
      </c>
      <c r="AZ16" s="32">
        <f>SUMPRODUCT(($E$5:$P$5="CO4")*(E16:P16))
+SUMPRODUCT(($AA$5:$AL$5="CO4")*(AA16:AL16))
+IF($Q$5="CO4",IF(Q16&lt;&gt;"",Q16,R16),0)
+IF($S$5="CO4",IF(S16&lt;&gt;"",S16,T16),0)
+IF($U$5="CO4",IF(U16&lt;&gt;"",U16,V16),0)
+IF($W$5="CO4",IF(W16&lt;&gt;"",W16,X16),0)
+IF($AM$5="CO4",IF(AM16&lt;&gt;"",AM16,AN16),0)
+IF($AO$5="CO4",IF(AO16&lt;&gt;"",AO16,AP16),0)
+IF($AQ$5="CO4",IF(AQ16&lt;&gt;"",AQ16,AR16),0)
+IF($AS$5="CO4",IF(AS16&lt;&gt;"",AS16,AT16),0)</f>
        <v/>
      </c>
      <c r="BA16" s="32">
        <f>SUMPRODUCT(($E$5:$P$5="CO5")*(E16:P16))
+SUMPRODUCT(($AA$5:$AL$5="CO5")*(AA16:AL16))
+IF($Q$5="CO5",IF(Q16&lt;&gt;"",Q16,R16),0)
+IF($S$5="CO5",IF(S16&lt;&gt;"",S16,T16),0)
+IF($U$5="CO5",IF(U16&lt;&gt;"",U16,V16),0)
+IF($W$5="CO5",IF(W16&lt;&gt;"",W16,X16),0)
+IF($AM$5="CO5",IF(AM16&lt;&gt;"",AM16,AN16),0)
+IF($AO$5="CO5",IF(AO16&lt;&gt;"",AO16,AP16),0)
+IF($AQ$5="CO5",IF(AQ16&lt;&gt;"",AQ16,AR16),0)
+IF($AS$5="CO5",IF(AS16&lt;&gt;"",AS16,AT16),0)</f>
        <v/>
      </c>
      <c r="BB16" s="32">
        <f>SUMPRODUCT(($E$5:$P$5="CO6")*(E16:P16))
+SUMPRODUCT(($AA$5:$AL$5="CO6")*(AA16:AL16))
+IF($Q$5="CO6",IF(Q16&lt;&gt;"",Q16,R16),0)
+IF($S$5="CO6",IF(S16&lt;&gt;"",S16,T16),0)
+IF($U$5="CO6",IF(U16&lt;&gt;"",U16,V16),0)
+IF($W$5="CO6",IF(W16&lt;&gt;"",W16,X16),0)
+IF($AM$5="CO6",IF(AM16&lt;&gt;"",AM16,AN16),0)
+IF($AO$5="CO6",IF(AO16&lt;&gt;"",AO16,AP16),0)
+IF($AQ$5="CO6",IF(AQ16&lt;&gt;"",AQ16,AR16),0)
+IF($AS$5="CO6",IF(AS16&lt;&gt;"",AS16,AT16),0)</f>
        <v/>
      </c>
      <c r="BD16" s="30" t="n">
        <v>12</v>
      </c>
      <c r="BE16" s="30" t="n">
        <v>14</v>
      </c>
      <c r="BF16" s="30" t="n">
        <v>14</v>
      </c>
      <c r="BG16" s="5" t="n"/>
      <c r="BH16" s="5" t="n"/>
      <c r="BI16" s="5" t="n"/>
      <c r="BJ16" s="25">
        <f>SUM(BD16:BI16)</f>
        <v/>
      </c>
      <c r="BL16" s="5" t="n">
        <v>8</v>
      </c>
      <c r="BM16" s="5" t="n">
        <v>8</v>
      </c>
      <c r="BN16" s="5" t="n">
        <v>12</v>
      </c>
      <c r="BO16" s="5" t="n">
        <v>12</v>
      </c>
      <c r="BP16" s="5" t="n"/>
      <c r="BQ16" s="5" t="n"/>
      <c r="BR16" s="33">
        <f>SUM(BL16:BQ16)</f>
        <v/>
      </c>
      <c r="BT16" s="36">
        <f>SUMPRODUCT(($AW$5:$BQ$5="CO1")*AW16:BQ16)</f>
        <v/>
      </c>
      <c r="BU16" s="37">
        <f>SUMPRODUCT(($AW$5:$BR$5="CO2")*AW16:BR16)</f>
        <v/>
      </c>
      <c r="BV16" s="37">
        <f>SUMPRODUCT(($AW$5:$BR$5="CO3")*AW16:BR16)</f>
        <v/>
      </c>
      <c r="BW16" s="37">
        <f>SUMPRODUCT(($AW$5:$BR$5="CO4")*AW16:BR16)</f>
        <v/>
      </c>
      <c r="BX16" s="37">
        <f>SUMPRODUCT(($AW$5:$BR$5="CO5")*AW16:BR16)</f>
        <v/>
      </c>
      <c r="BY16" s="37">
        <f>SUMPRODUCT(($AW$5:$BR$5="CO6")*AW16:BR16)</f>
        <v/>
      </c>
      <c r="BZ16" s="33">
        <f>SUM(BT16:BY16)</f>
        <v/>
      </c>
      <c r="CB16" s="38">
        <f>BT16/$BT$7*100</f>
        <v/>
      </c>
      <c r="CC16" s="38">
        <f>BU16/$BU$7*100</f>
        <v/>
      </c>
      <c r="CD16" s="38">
        <f>BV16/$BV$7*100</f>
        <v/>
      </c>
      <c r="CE16" s="38">
        <f>BW16/$BW$7*100</f>
        <v/>
      </c>
      <c r="CF16" s="38">
        <f>BX16/$BX$7*100</f>
        <v/>
      </c>
      <c r="CG16" s="38">
        <f>BY16/$BY$7*100</f>
        <v/>
      </c>
    </row>
    <row r="17" ht="15.5" customHeight="1">
      <c r="A17" s="43" t="n">
        <v>10</v>
      </c>
      <c r="B17" s="43" t="inlineStr">
        <is>
          <t>MANIKANDAN A</t>
        </is>
      </c>
      <c r="C17" s="43" t="inlineStr">
        <is>
          <t>SECTION C</t>
        </is>
      </c>
      <c r="D17" s="4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28">
        <f>SUM(E17:P17)+(IF(Q17&lt;&gt;"",Q17,R17))+(IF(S17&lt;&gt;"",S17,T17))+(IF(U17&lt;&gt;"",U17,V17))+(IF(W17&lt;&gt;"",W17,X17))</f>
        <v/>
      </c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31">
        <f>SUM(AA17:AL17)+(IF(AM17&lt;&gt;"",AM17,AN17))+(IF(AO17&lt;&gt;"",AO17,AP17))+(IF(AQ17&lt;&gt;"",AQ17,AR17))+(IF(AS17&lt;&gt;"",AS17,AT17))</f>
        <v/>
      </c>
      <c r="AW17" s="32">
        <f>SUMPRODUCT(($E$5:$P$5="CO1")*(E17:P17))
+SUMPRODUCT(($AA$5:$AL$5="CO1")*(AA17:AL17))
+IF($Q$5="CO1",IF(Q17&lt;&gt;"",Q17,R17),0)
+IF($S$5="CO1",IF(S17&lt;&gt;"",S17,T17),0)
+IF($U$5="CO1",IF(U17&lt;&gt;"",U17,V17),0)
+IF($W$5="CO1",IF(W17&lt;&gt;"",W17,X17),0)
+IF($AM$5="CO1",IF(AM17&lt;&gt;"",AM17,AN17),0)
+IF($AO$5="CO1",IF(AO17&lt;&gt;"",AO17,AP17),0)
+IF($AQ$5="CO1",IF(AQ17&lt;&gt;"",AQ17,AR17),0)
+IF($AS$5="CO1",IF(AS17&lt;&gt;"",AS17,AT17),0)</f>
        <v/>
      </c>
      <c r="AX17" s="32">
        <f>SUMPRODUCT(($E$5:$P$5="CO2")*(E17:P17))
+SUMPRODUCT(($AA$5:$AL$5="CO2")*(AA17:AL17))
+IF($Q$5="CO2",IF(R17&lt;&gt;"",R17,S17),0)
+IF($S$5="CO2",IF(T17&lt;&gt;"",T17,U17),0)
+IF($U$5="CO2",IF(V17&lt;&gt;"",V17,W17),0)
+IF($W$5="CO2",IF(X17&lt;&gt;"",X17,Y17),0)
+IF($AM$5="CO2",IF(AN17&lt;&gt;"",AN17,AO17),0)
+IF($AO$5="CO2",IF(AP17&lt;&gt;"",AP17,AQ17),0)
+IF($AQ$5="CO2",IF(AR17&lt;&gt;"",AR17,AS17),0)
+IF($AS$5="CO2",IF(AT17&lt;&gt;"",AT17,AU17),0)</f>
        <v/>
      </c>
      <c r="AY17" s="32">
        <f>SUMPRODUCT(($E$5:$P$5="CO3")*(E17:P17))
+SUMPRODUCT(($AA$5:$AL$5="CO3")*(AA17:AL17))
+IF($Q$5="CO3",IF(Q17&lt;&gt;"",Q17,R17),0)
+IF($S$5="CO3",IF(S17&lt;&gt;"",S17,T17),0)
+IF($U$5="CO3",IF(U17&lt;&gt;"",U17,V17),0)
+IF($W$5="CO3",IF(W17&lt;&gt;"",W17,X17),0)
+IF($AM$5="CO3",IF(AM17&lt;&gt;"",AM17,AN17),0)
+IF($AO$5="CO3",IF(AO17&lt;&gt;"",AO17,AP17),0)
+IF($AQ$5="CO3",IF(AQ17&lt;&gt;"",AQ17,AR17),0)
+IF($AS$5="CO3",IF(AS17&lt;&gt;"",AS17,AT17),0)</f>
        <v/>
      </c>
      <c r="AZ17" s="32">
        <f>SUMPRODUCT(($E$5:$P$5="CO4")*(E17:P17))
+SUMPRODUCT(($AA$5:$AL$5="CO4")*(AA17:AL17))
+IF($Q$5="CO4",IF(Q17&lt;&gt;"",Q17,R17),0)
+IF($S$5="CO4",IF(S17&lt;&gt;"",S17,T17),0)
+IF($U$5="CO4",IF(U17&lt;&gt;"",U17,V17),0)
+IF($W$5="CO4",IF(W17&lt;&gt;"",W17,X17),0)
+IF($AM$5="CO4",IF(AM17&lt;&gt;"",AM17,AN17),0)
+IF($AO$5="CO4",IF(AO17&lt;&gt;"",AO17,AP17),0)
+IF($AQ$5="CO4",IF(AQ17&lt;&gt;"",AQ17,AR17),0)
+IF($AS$5="CO4",IF(AS17&lt;&gt;"",AS17,AT17),0)</f>
        <v/>
      </c>
      <c r="BA17" s="32">
        <f>SUMPRODUCT(($E$5:$P$5="CO5")*(E17:P17))
+SUMPRODUCT(($AA$5:$AL$5="CO5")*(AA17:AL17))
+IF($Q$5="CO5",IF(Q17&lt;&gt;"",Q17,R17),0)
+IF($S$5="CO5",IF(S17&lt;&gt;"",S17,T17),0)
+IF($U$5="CO5",IF(U17&lt;&gt;"",U17,V17),0)
+IF($W$5="CO5",IF(W17&lt;&gt;"",W17,X17),0)
+IF($AM$5="CO5",IF(AM17&lt;&gt;"",AM17,AN17),0)
+IF($AO$5="CO5",IF(AO17&lt;&gt;"",AO17,AP17),0)
+IF($AQ$5="CO5",IF(AQ17&lt;&gt;"",AQ17,AR17),0)
+IF($AS$5="CO5",IF(AS17&lt;&gt;"",AS17,AT17),0)</f>
        <v/>
      </c>
      <c r="BB17" s="32">
        <f>SUMPRODUCT(($E$5:$P$5="CO6")*(E17:P17))
+SUMPRODUCT(($AA$5:$AL$5="CO6")*(AA17:AL17))
+IF($Q$5="CO6",IF(Q17&lt;&gt;"",Q17,R17),0)
+IF($S$5="CO6",IF(S17&lt;&gt;"",S17,T17),0)
+IF($U$5="CO6",IF(U17&lt;&gt;"",U17,V17),0)
+IF($W$5="CO6",IF(W17&lt;&gt;"",W17,X17),0)
+IF($AM$5="CO6",IF(AM17&lt;&gt;"",AM17,AN17),0)
+IF($AO$5="CO6",IF(AO17&lt;&gt;"",AO17,AP17),0)
+IF($AQ$5="CO6",IF(AQ17&lt;&gt;"",AQ17,AR17),0)
+IF($AS$5="CO6",IF(AS17&lt;&gt;"",AS17,AT17),0)</f>
        <v/>
      </c>
      <c r="BD17" s="30" t="n">
        <v>12</v>
      </c>
      <c r="BE17" s="30" t="n">
        <v>14</v>
      </c>
      <c r="BF17" s="30" t="n">
        <v>14</v>
      </c>
      <c r="BG17" s="5" t="n"/>
      <c r="BH17" s="5" t="n"/>
      <c r="BI17" s="5" t="n"/>
      <c r="BJ17" s="25">
        <f>SUM(BD17:BI17)</f>
        <v/>
      </c>
      <c r="BL17" s="5" t="n">
        <v>8</v>
      </c>
      <c r="BM17" s="5" t="n">
        <v>8</v>
      </c>
      <c r="BN17" s="5" t="n">
        <v>12</v>
      </c>
      <c r="BO17" s="5" t="n">
        <v>12</v>
      </c>
      <c r="BP17" s="5" t="n"/>
      <c r="BQ17" s="5" t="n"/>
      <c r="BR17" s="33">
        <f>SUM(BL17:BQ17)</f>
        <v/>
      </c>
      <c r="BT17" s="36">
        <f>SUMPRODUCT(($AW$5:$BQ$5="CO1")*AW17:BQ17)</f>
        <v/>
      </c>
      <c r="BU17" s="37">
        <f>SUMPRODUCT(($AW$5:$BR$5="CO2")*AW17:BR17)</f>
        <v/>
      </c>
      <c r="BV17" s="37">
        <f>SUMPRODUCT(($AW$5:$BR$5="CO3")*AW17:BR17)</f>
        <v/>
      </c>
      <c r="BW17" s="37">
        <f>SUMPRODUCT(($AW$5:$BR$5="CO4")*AW17:BR17)</f>
        <v/>
      </c>
      <c r="BX17" s="37">
        <f>SUMPRODUCT(($AW$5:$BR$5="CO5")*AW17:BR17)</f>
        <v/>
      </c>
      <c r="BY17" s="37">
        <f>SUMPRODUCT(($AW$5:$BR$5="CO6")*AW17:BR17)</f>
        <v/>
      </c>
      <c r="BZ17" s="33">
        <f>SUM(BT17:BY17)</f>
        <v/>
      </c>
      <c r="CB17" s="38">
        <f>BT17/$BT$7*100</f>
        <v/>
      </c>
      <c r="CC17" s="38">
        <f>BU17/$BU$7*100</f>
        <v/>
      </c>
      <c r="CD17" s="38">
        <f>BV17/$BV$7*100</f>
        <v/>
      </c>
      <c r="CE17" s="38">
        <f>BW17/$BW$7*100</f>
        <v/>
      </c>
      <c r="CF17" s="38">
        <f>BX17/$BX$7*100</f>
        <v/>
      </c>
      <c r="CG17" s="38">
        <f>BY17/$BY$7*100</f>
        <v/>
      </c>
    </row>
    <row r="18" ht="15.5" customHeight="1">
      <c r="A18" s="43" t="n">
        <v>11</v>
      </c>
      <c r="B18" s="43" t="inlineStr">
        <is>
          <t>MANOJ T</t>
        </is>
      </c>
      <c r="C18" s="43" t="inlineStr">
        <is>
          <t>SECTION C</t>
        </is>
      </c>
      <c r="D18" s="4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28">
        <f>SUM(E18:P18)+(IF(Q18&lt;&gt;"",Q18,R18))+(IF(S18&lt;&gt;"",S18,T18))+(IF(U18&lt;&gt;"",U18,V18))+(IF(W18&lt;&gt;"",W18,X18))</f>
        <v/>
      </c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31">
        <f>SUM(AA18:AL18)+(IF(AM18&lt;&gt;"",AM18,AN18))+(IF(AO18&lt;&gt;"",AO18,AP18))+(IF(AQ18&lt;&gt;"",AQ18,AR18))+(IF(AS18&lt;&gt;"",AS18,AT18))</f>
        <v/>
      </c>
      <c r="AW18" s="32">
        <f>SUMPRODUCT(($E$5:$P$5="CO1")*(E18:P18))
+SUMPRODUCT(($AA$5:$AL$5="CO1")*(AA18:AL18))
+IF($Q$5="CO1",IF(Q18&lt;&gt;"",Q18,R18),0)
+IF($S$5="CO1",IF(S18&lt;&gt;"",S18,T18),0)
+IF($U$5="CO1",IF(U18&lt;&gt;"",U18,V18),0)
+IF($W$5="CO1",IF(W18&lt;&gt;"",W18,X18),0)
+IF($AM$5="CO1",IF(AM18&lt;&gt;"",AM18,AN18),0)
+IF($AO$5="CO1",IF(AO18&lt;&gt;"",AO18,AP18),0)
+IF($AQ$5="CO1",IF(AQ18&lt;&gt;"",AQ18,AR18),0)
+IF($AS$5="CO1",IF(AS18&lt;&gt;"",AS18,AT18),0)</f>
        <v/>
      </c>
      <c r="AX18" s="32">
        <f>SUMPRODUCT(($E$5:$P$5="CO2")*(E18:P18))
+SUMPRODUCT(($AA$5:$AL$5="CO2")*(AA18:AL18))
+IF($Q$5="CO2",IF(R18&lt;&gt;"",R18,S18),0)
+IF($S$5="CO2",IF(T18&lt;&gt;"",T18,U18),0)
+IF($U$5="CO2",IF(V18&lt;&gt;"",V18,W18),0)
+IF($W$5="CO2",IF(X18&lt;&gt;"",X18,Y18),0)
+IF($AM$5="CO2",IF(AN18&lt;&gt;"",AN18,AO18),0)
+IF($AO$5="CO2",IF(AP18&lt;&gt;"",AP18,AQ18),0)
+IF($AQ$5="CO2",IF(AR18&lt;&gt;"",AR18,AS18),0)
+IF($AS$5="CO2",IF(AT18&lt;&gt;"",AT18,AU18),0)</f>
        <v/>
      </c>
      <c r="AY18" s="32">
        <f>SUMPRODUCT(($E$5:$P$5="CO3")*(E18:P18))
+SUMPRODUCT(($AA$5:$AL$5="CO3")*(AA18:AL18))
+IF($Q$5="CO3",IF(Q18&lt;&gt;"",Q18,R18),0)
+IF($S$5="CO3",IF(S18&lt;&gt;"",S18,T18),0)
+IF($U$5="CO3",IF(U18&lt;&gt;"",U18,V18),0)
+IF($W$5="CO3",IF(W18&lt;&gt;"",W18,X18),0)
+IF($AM$5="CO3",IF(AM18&lt;&gt;"",AM18,AN18),0)
+IF($AO$5="CO3",IF(AO18&lt;&gt;"",AO18,AP18),0)
+IF($AQ$5="CO3",IF(AQ18&lt;&gt;"",AQ18,AR18),0)
+IF($AS$5="CO3",IF(AS18&lt;&gt;"",AS18,AT18),0)</f>
        <v/>
      </c>
      <c r="AZ18" s="32">
        <f>SUMPRODUCT(($E$5:$P$5="CO4")*(E18:P18))
+SUMPRODUCT(($AA$5:$AL$5="CO4")*(AA18:AL18))
+IF($Q$5="CO4",IF(Q18&lt;&gt;"",Q18,R18),0)
+IF($S$5="CO4",IF(S18&lt;&gt;"",S18,T18),0)
+IF($U$5="CO4",IF(U18&lt;&gt;"",U18,V18),0)
+IF($W$5="CO4",IF(W18&lt;&gt;"",W18,X18),0)
+IF($AM$5="CO4",IF(AM18&lt;&gt;"",AM18,AN18),0)
+IF($AO$5="CO4",IF(AO18&lt;&gt;"",AO18,AP18),0)
+IF($AQ$5="CO4",IF(AQ18&lt;&gt;"",AQ18,AR18),0)
+IF($AS$5="CO4",IF(AS18&lt;&gt;"",AS18,AT18),0)</f>
        <v/>
      </c>
      <c r="BA18" s="32">
        <f>SUMPRODUCT(($E$5:$P$5="CO5")*(E18:P18))
+SUMPRODUCT(($AA$5:$AL$5="CO5")*(AA18:AL18))
+IF($Q$5="CO5",IF(Q18&lt;&gt;"",Q18,R18),0)
+IF($S$5="CO5",IF(S18&lt;&gt;"",S18,T18),0)
+IF($U$5="CO5",IF(U18&lt;&gt;"",U18,V18),0)
+IF($W$5="CO5",IF(W18&lt;&gt;"",W18,X18),0)
+IF($AM$5="CO5",IF(AM18&lt;&gt;"",AM18,AN18),0)
+IF($AO$5="CO5",IF(AO18&lt;&gt;"",AO18,AP18),0)
+IF($AQ$5="CO5",IF(AQ18&lt;&gt;"",AQ18,AR18),0)
+IF($AS$5="CO5",IF(AS18&lt;&gt;"",AS18,AT18),0)</f>
        <v/>
      </c>
      <c r="BB18" s="32">
        <f>SUMPRODUCT(($E$5:$P$5="CO6")*(E18:P18))
+SUMPRODUCT(($AA$5:$AL$5="CO6")*(AA18:AL18))
+IF($Q$5="CO6",IF(Q18&lt;&gt;"",Q18,R18),0)
+IF($S$5="CO6",IF(S18&lt;&gt;"",S18,T18),0)
+IF($U$5="CO6",IF(U18&lt;&gt;"",U18,V18),0)
+IF($W$5="CO6",IF(W18&lt;&gt;"",W18,X18),0)
+IF($AM$5="CO6",IF(AM18&lt;&gt;"",AM18,AN18),0)
+IF($AO$5="CO6",IF(AO18&lt;&gt;"",AO18,AP18),0)
+IF($AQ$5="CO6",IF(AQ18&lt;&gt;"",AQ18,AR18),0)
+IF($AS$5="CO6",IF(AS18&lt;&gt;"",AS18,AT18),0)</f>
        <v/>
      </c>
      <c r="BD18" s="30" t="n">
        <v>12</v>
      </c>
      <c r="BE18" s="30" t="n">
        <v>14</v>
      </c>
      <c r="BF18" s="30" t="n">
        <v>14</v>
      </c>
      <c r="BG18" s="5" t="n"/>
      <c r="BH18" s="5" t="n"/>
      <c r="BI18" s="5" t="n"/>
      <c r="BJ18" s="25">
        <f>SUM(BD18:BI18)</f>
        <v/>
      </c>
      <c r="BL18" s="5" t="n">
        <v>8</v>
      </c>
      <c r="BM18" s="5" t="n">
        <v>8</v>
      </c>
      <c r="BN18" s="5" t="n">
        <v>12</v>
      </c>
      <c r="BO18" s="5" t="n">
        <v>12</v>
      </c>
      <c r="BP18" s="5" t="n"/>
      <c r="BQ18" s="5" t="n"/>
      <c r="BR18" s="33">
        <f>SUM(BL18:BQ18)</f>
        <v/>
      </c>
      <c r="BT18" s="36">
        <f>SUMPRODUCT(($AW$5:$BQ$5="CO1")*AW18:BQ18)</f>
        <v/>
      </c>
      <c r="BU18" s="37">
        <f>SUMPRODUCT(($AW$5:$BR$5="CO2")*AW18:BR18)</f>
        <v/>
      </c>
      <c r="BV18" s="37">
        <f>SUMPRODUCT(($AW$5:$BR$5="CO3")*AW18:BR18)</f>
        <v/>
      </c>
      <c r="BW18" s="37">
        <f>SUMPRODUCT(($AW$5:$BR$5="CO4")*AW18:BR18)</f>
        <v/>
      </c>
      <c r="BX18" s="37">
        <f>SUMPRODUCT(($AW$5:$BR$5="CO5")*AW18:BR18)</f>
        <v/>
      </c>
      <c r="BY18" s="37">
        <f>SUMPRODUCT(($AW$5:$BR$5="CO6")*AW18:BR18)</f>
        <v/>
      </c>
      <c r="BZ18" s="33">
        <f>SUM(BT18:BY18)</f>
        <v/>
      </c>
      <c r="CB18" s="38">
        <f>BT18/$BT$7*100</f>
        <v/>
      </c>
      <c r="CC18" s="38">
        <f>BU18/$BU$7*100</f>
        <v/>
      </c>
      <c r="CD18" s="38">
        <f>BV18/$BV$7*100</f>
        <v/>
      </c>
      <c r="CE18" s="38">
        <f>BW18/$BW$7*100</f>
        <v/>
      </c>
      <c r="CF18" s="38">
        <f>BX18/$BX$7*100</f>
        <v/>
      </c>
      <c r="CG18" s="38">
        <f>BY18/$BY$7*100</f>
        <v/>
      </c>
    </row>
    <row r="19" ht="15.5" customHeight="1">
      <c r="A19" s="43" t="n">
        <v>12</v>
      </c>
      <c r="B19" s="43" t="inlineStr">
        <is>
          <t>MOHAMED ABUBAKKAR M</t>
        </is>
      </c>
      <c r="C19" s="43" t="inlineStr">
        <is>
          <t>SECTION C</t>
        </is>
      </c>
      <c r="D19" s="4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28">
        <f>SUM(E19:P19)+(IF(Q19&lt;&gt;"",Q19,R19))+(IF(S19&lt;&gt;"",S19,T19))+(IF(U19&lt;&gt;"",U19,V19))+(IF(W19&lt;&gt;"",W19,X19))</f>
        <v/>
      </c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31">
        <f>SUM(AA19:AL19)+(IF(AM19&lt;&gt;"",AM19,AN19))+(IF(AO19&lt;&gt;"",AO19,AP19))+(IF(AQ19&lt;&gt;"",AQ19,AR19))+(IF(AS19&lt;&gt;"",AS19,AT19))</f>
        <v/>
      </c>
      <c r="AW19" s="32">
        <f>SUMPRODUCT(($E$5:$P$5="CO1")*(E19:P19))
+SUMPRODUCT(($AA$5:$AL$5="CO1")*(AA19:AL19))
+IF($Q$5="CO1",IF(Q19&lt;&gt;"",Q19,R19),0)
+IF($S$5="CO1",IF(S19&lt;&gt;"",S19,T19),0)
+IF($U$5="CO1",IF(U19&lt;&gt;"",U19,V19),0)
+IF($W$5="CO1",IF(W19&lt;&gt;"",W19,X19),0)
+IF($AM$5="CO1",IF(AM19&lt;&gt;"",AM19,AN19),0)
+IF($AO$5="CO1",IF(AO19&lt;&gt;"",AO19,AP19),0)
+IF($AQ$5="CO1",IF(AQ19&lt;&gt;"",AQ19,AR19),0)
+IF($AS$5="CO1",IF(AS19&lt;&gt;"",AS19,AT19),0)</f>
        <v/>
      </c>
      <c r="AX19" s="32">
        <f>SUMPRODUCT(($E$5:$P$5="CO2")*(E19:P19))
+SUMPRODUCT(($AA$5:$AL$5="CO2")*(AA19:AL19))
+IF($Q$5="CO2",IF(R19&lt;&gt;"",R19,S19),0)
+IF($S$5="CO2",IF(T19&lt;&gt;"",T19,U19),0)
+IF($U$5="CO2",IF(V19&lt;&gt;"",V19,W19),0)
+IF($W$5="CO2",IF(X19&lt;&gt;"",X19,Y19),0)
+IF($AM$5="CO2",IF(AN19&lt;&gt;"",AN19,AO19),0)
+IF($AO$5="CO2",IF(AP19&lt;&gt;"",AP19,AQ19),0)
+IF($AQ$5="CO2",IF(AR19&lt;&gt;"",AR19,AS19),0)
+IF($AS$5="CO2",IF(AT19&lt;&gt;"",AT19,AU19),0)</f>
        <v/>
      </c>
      <c r="AY19" s="32">
        <f>SUMPRODUCT(($E$5:$P$5="CO3")*(E19:P19))
+SUMPRODUCT(($AA$5:$AL$5="CO3")*(AA19:AL19))
+IF($Q$5="CO3",IF(Q19&lt;&gt;"",Q19,R19),0)
+IF($S$5="CO3",IF(S19&lt;&gt;"",S19,T19),0)
+IF($U$5="CO3",IF(U19&lt;&gt;"",U19,V19),0)
+IF($W$5="CO3",IF(W19&lt;&gt;"",W19,X19),0)
+IF($AM$5="CO3",IF(AM19&lt;&gt;"",AM19,AN19),0)
+IF($AO$5="CO3",IF(AO19&lt;&gt;"",AO19,AP19),0)
+IF($AQ$5="CO3",IF(AQ19&lt;&gt;"",AQ19,AR19),0)
+IF($AS$5="CO3",IF(AS19&lt;&gt;"",AS19,AT19),0)</f>
        <v/>
      </c>
      <c r="AZ19" s="32">
        <f>SUMPRODUCT(($E$5:$P$5="CO4")*(E19:P19))
+SUMPRODUCT(($AA$5:$AL$5="CO4")*(AA19:AL19))
+IF($Q$5="CO4",IF(Q19&lt;&gt;"",Q19,R19),0)
+IF($S$5="CO4",IF(S19&lt;&gt;"",S19,T19),0)
+IF($U$5="CO4",IF(U19&lt;&gt;"",U19,V19),0)
+IF($W$5="CO4",IF(W19&lt;&gt;"",W19,X19),0)
+IF($AM$5="CO4",IF(AM19&lt;&gt;"",AM19,AN19),0)
+IF($AO$5="CO4",IF(AO19&lt;&gt;"",AO19,AP19),0)
+IF($AQ$5="CO4",IF(AQ19&lt;&gt;"",AQ19,AR19),0)
+IF($AS$5="CO4",IF(AS19&lt;&gt;"",AS19,AT19),0)</f>
        <v/>
      </c>
      <c r="BA19" s="32">
        <f>SUMPRODUCT(($E$5:$P$5="CO5")*(E19:P19))
+SUMPRODUCT(($AA$5:$AL$5="CO5")*(AA19:AL19))
+IF($Q$5="CO5",IF(Q19&lt;&gt;"",Q19,R19),0)
+IF($S$5="CO5",IF(S19&lt;&gt;"",S19,T19),0)
+IF($U$5="CO5",IF(U19&lt;&gt;"",U19,V19),0)
+IF($W$5="CO5",IF(W19&lt;&gt;"",W19,X19),0)
+IF($AM$5="CO5",IF(AM19&lt;&gt;"",AM19,AN19),0)
+IF($AO$5="CO5",IF(AO19&lt;&gt;"",AO19,AP19),0)
+IF($AQ$5="CO5",IF(AQ19&lt;&gt;"",AQ19,AR19),0)
+IF($AS$5="CO5",IF(AS19&lt;&gt;"",AS19,AT19),0)</f>
        <v/>
      </c>
      <c r="BB19" s="32">
        <f>SUMPRODUCT(($E$5:$P$5="CO6")*(E19:P19))
+SUMPRODUCT(($AA$5:$AL$5="CO6")*(AA19:AL19))
+IF($Q$5="CO6",IF(Q19&lt;&gt;"",Q19,R19),0)
+IF($S$5="CO6",IF(S19&lt;&gt;"",S19,T19),0)
+IF($U$5="CO6",IF(U19&lt;&gt;"",U19,V19),0)
+IF($W$5="CO6",IF(W19&lt;&gt;"",W19,X19),0)
+IF($AM$5="CO6",IF(AM19&lt;&gt;"",AM19,AN19),0)
+IF($AO$5="CO6",IF(AO19&lt;&gt;"",AO19,AP19),0)
+IF($AQ$5="CO6",IF(AQ19&lt;&gt;"",AQ19,AR19),0)
+IF($AS$5="CO6",IF(AS19&lt;&gt;"",AS19,AT19),0)</f>
        <v/>
      </c>
      <c r="BD19" s="30" t="n">
        <v>12</v>
      </c>
      <c r="BE19" s="30" t="n">
        <v>14</v>
      </c>
      <c r="BF19" s="30" t="n">
        <v>14</v>
      </c>
      <c r="BG19" s="5" t="n"/>
      <c r="BH19" s="5" t="n"/>
      <c r="BI19" s="5" t="n"/>
      <c r="BJ19" s="25">
        <f>SUM(BD19:BI19)</f>
        <v/>
      </c>
      <c r="BL19" s="5" t="n">
        <v>8</v>
      </c>
      <c r="BM19" s="5" t="n">
        <v>8</v>
      </c>
      <c r="BN19" s="5" t="n">
        <v>12</v>
      </c>
      <c r="BO19" s="5" t="n">
        <v>12</v>
      </c>
      <c r="BP19" s="5" t="n"/>
      <c r="BQ19" s="5" t="n"/>
      <c r="BR19" s="33">
        <f>SUM(BL19:BQ19)</f>
        <v/>
      </c>
      <c r="BT19" s="36">
        <f>SUMPRODUCT(($AW$5:$BQ$5="CO1")*AW19:BQ19)</f>
        <v/>
      </c>
      <c r="BU19" s="37">
        <f>SUMPRODUCT(($AW$5:$BR$5="CO2")*AW19:BR19)</f>
        <v/>
      </c>
      <c r="BV19" s="37">
        <f>SUMPRODUCT(($AW$5:$BR$5="CO3")*AW19:BR19)</f>
        <v/>
      </c>
      <c r="BW19" s="37">
        <f>SUMPRODUCT(($AW$5:$BR$5="CO4")*AW19:BR19)</f>
        <v/>
      </c>
      <c r="BX19" s="37">
        <f>SUMPRODUCT(($AW$5:$BR$5="CO5")*AW19:BR19)</f>
        <v/>
      </c>
      <c r="BY19" s="37">
        <f>SUMPRODUCT(($AW$5:$BR$5="CO6")*AW19:BR19)</f>
        <v/>
      </c>
      <c r="BZ19" s="33">
        <f>SUM(BT19:BY19)</f>
        <v/>
      </c>
      <c r="CB19" s="38">
        <f>BT19/$BT$7*100</f>
        <v/>
      </c>
      <c r="CC19" s="38">
        <f>BU19/$BU$7*100</f>
        <v/>
      </c>
      <c r="CD19" s="38">
        <f>BV19/$BV$7*100</f>
        <v/>
      </c>
      <c r="CE19" s="38">
        <f>BW19/$BW$7*100</f>
        <v/>
      </c>
      <c r="CF19" s="38">
        <f>BX19/$BX$7*100</f>
        <v/>
      </c>
      <c r="CG19" s="38">
        <f>BY19/$BY$7*100</f>
        <v/>
      </c>
    </row>
    <row r="20" ht="15.5" customHeight="1">
      <c r="A20" s="43" t="n">
        <v>13</v>
      </c>
      <c r="B20" s="43" t="inlineStr">
        <is>
          <t>MUKKESH I</t>
        </is>
      </c>
      <c r="C20" s="43" t="inlineStr">
        <is>
          <t>SECTION C</t>
        </is>
      </c>
      <c r="D20" s="4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28">
        <f>SUM(E20:P20)+(IF(Q20&lt;&gt;"",Q20,R20))+(IF(S20&lt;&gt;"",S20,T20))+(IF(U20&lt;&gt;"",U20,V20))+(IF(W20&lt;&gt;"",W20,X20))</f>
        <v/>
      </c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31">
        <f>SUM(AA20:AL20)+(IF(AM20&lt;&gt;"",AM20,AN20))+(IF(AO20&lt;&gt;"",AO20,AP20))+(IF(AQ20&lt;&gt;"",AQ20,AR20))+(IF(AS20&lt;&gt;"",AS20,AT20))</f>
        <v/>
      </c>
      <c r="AW20" s="32">
        <f>SUMPRODUCT(($E$5:$P$5="CO1")*(E20:P20))
+SUMPRODUCT(($AA$5:$AL$5="CO1")*(AA20:AL20))
+IF($Q$5="CO1",IF(Q20&lt;&gt;"",Q20,R20),0)
+IF($S$5="CO1",IF(S20&lt;&gt;"",S20,T20),0)
+IF($U$5="CO1",IF(U20&lt;&gt;"",U20,V20),0)
+IF($W$5="CO1",IF(W20&lt;&gt;"",W20,X20),0)
+IF($AM$5="CO1",IF(AM20&lt;&gt;"",AM20,AN20),0)
+IF($AO$5="CO1",IF(AO20&lt;&gt;"",AO20,AP20),0)
+IF($AQ$5="CO1",IF(AQ20&lt;&gt;"",AQ20,AR20),0)
+IF($AS$5="CO1",IF(AS20&lt;&gt;"",AS20,AT20),0)</f>
        <v/>
      </c>
      <c r="AX20" s="32">
        <f>SUMPRODUCT(($E$5:$P$5="CO2")*(E20:P20))
+SUMPRODUCT(($AA$5:$AL$5="CO2")*(AA20:AL20))
+IF($Q$5="CO2",IF(R20&lt;&gt;"",R20,S20),0)
+IF($S$5="CO2",IF(T20&lt;&gt;"",T20,U20),0)
+IF($U$5="CO2",IF(V20&lt;&gt;"",V20,W20),0)
+IF($W$5="CO2",IF(X20&lt;&gt;"",X20,Y20),0)
+IF($AM$5="CO2",IF(AN20&lt;&gt;"",AN20,AO20),0)
+IF($AO$5="CO2",IF(AP20&lt;&gt;"",AP20,AQ20),0)
+IF($AQ$5="CO2",IF(AR20&lt;&gt;"",AR20,AS20),0)
+IF($AS$5="CO2",IF(AT20&lt;&gt;"",AT20,AU20),0)</f>
        <v/>
      </c>
      <c r="AY20" s="32">
        <f>SUMPRODUCT(($E$5:$P$5="CO3")*(E20:P20))
+SUMPRODUCT(($AA$5:$AL$5="CO3")*(AA20:AL20))
+IF($Q$5="CO3",IF(Q20&lt;&gt;"",Q20,R20),0)
+IF($S$5="CO3",IF(S20&lt;&gt;"",S20,T20),0)
+IF($U$5="CO3",IF(U20&lt;&gt;"",U20,V20),0)
+IF($W$5="CO3",IF(W20&lt;&gt;"",W20,X20),0)
+IF($AM$5="CO3",IF(AM20&lt;&gt;"",AM20,AN20),0)
+IF($AO$5="CO3",IF(AO20&lt;&gt;"",AO20,AP20),0)
+IF($AQ$5="CO3",IF(AQ20&lt;&gt;"",AQ20,AR20),0)
+IF($AS$5="CO3",IF(AS20&lt;&gt;"",AS20,AT20),0)</f>
        <v/>
      </c>
      <c r="AZ20" s="32">
        <f>SUMPRODUCT(($E$5:$P$5="CO4")*(E20:P20))
+SUMPRODUCT(($AA$5:$AL$5="CO4")*(AA20:AL20))
+IF($Q$5="CO4",IF(Q20&lt;&gt;"",Q20,R20),0)
+IF($S$5="CO4",IF(S20&lt;&gt;"",S20,T20),0)
+IF($U$5="CO4",IF(U20&lt;&gt;"",U20,V20),0)
+IF($W$5="CO4",IF(W20&lt;&gt;"",W20,X20),0)
+IF($AM$5="CO4",IF(AM20&lt;&gt;"",AM20,AN20),0)
+IF($AO$5="CO4",IF(AO20&lt;&gt;"",AO20,AP20),0)
+IF($AQ$5="CO4",IF(AQ20&lt;&gt;"",AQ20,AR20),0)
+IF($AS$5="CO4",IF(AS20&lt;&gt;"",AS20,AT20),0)</f>
        <v/>
      </c>
      <c r="BA20" s="32">
        <f>SUMPRODUCT(($E$5:$P$5="CO5")*(E20:P20))
+SUMPRODUCT(($AA$5:$AL$5="CO5")*(AA20:AL20))
+IF($Q$5="CO5",IF(Q20&lt;&gt;"",Q20,R20),0)
+IF($S$5="CO5",IF(S20&lt;&gt;"",S20,T20),0)
+IF($U$5="CO5",IF(U20&lt;&gt;"",U20,V20),0)
+IF($W$5="CO5",IF(W20&lt;&gt;"",W20,X20),0)
+IF($AM$5="CO5",IF(AM20&lt;&gt;"",AM20,AN20),0)
+IF($AO$5="CO5",IF(AO20&lt;&gt;"",AO20,AP20),0)
+IF($AQ$5="CO5",IF(AQ20&lt;&gt;"",AQ20,AR20),0)
+IF($AS$5="CO5",IF(AS20&lt;&gt;"",AS20,AT20),0)</f>
        <v/>
      </c>
      <c r="BB20" s="32">
        <f>SUMPRODUCT(($E$5:$P$5="CO6")*(E20:P20))
+SUMPRODUCT(($AA$5:$AL$5="CO6")*(AA20:AL20))
+IF($Q$5="CO6",IF(Q20&lt;&gt;"",Q20,R20),0)
+IF($S$5="CO6",IF(S20&lt;&gt;"",S20,T20),0)
+IF($U$5="CO6",IF(U20&lt;&gt;"",U20,V20),0)
+IF($W$5="CO6",IF(W20&lt;&gt;"",W20,X20),0)
+IF($AM$5="CO6",IF(AM20&lt;&gt;"",AM20,AN20),0)
+IF($AO$5="CO6",IF(AO20&lt;&gt;"",AO20,AP20),0)
+IF($AQ$5="CO6",IF(AQ20&lt;&gt;"",AQ20,AR20),0)
+IF($AS$5="CO6",IF(AS20&lt;&gt;"",AS20,AT20),0)</f>
        <v/>
      </c>
      <c r="BD20" s="30" t="n">
        <v>12</v>
      </c>
      <c r="BE20" s="30" t="n">
        <v>14</v>
      </c>
      <c r="BF20" s="30" t="n">
        <v>14</v>
      </c>
      <c r="BG20" s="5" t="n"/>
      <c r="BH20" s="5" t="n"/>
      <c r="BI20" s="5" t="n"/>
      <c r="BJ20" s="25">
        <f>SUM(BD20:BI20)</f>
        <v/>
      </c>
      <c r="BL20" s="5" t="n">
        <v>8</v>
      </c>
      <c r="BM20" s="5" t="n">
        <v>8</v>
      </c>
      <c r="BN20" s="5" t="n">
        <v>12</v>
      </c>
      <c r="BO20" s="5" t="n">
        <v>12</v>
      </c>
      <c r="BP20" s="5" t="n"/>
      <c r="BQ20" s="5" t="n"/>
      <c r="BR20" s="33">
        <f>SUM(BL20:BQ20)</f>
        <v/>
      </c>
      <c r="BT20" s="36">
        <f>SUMPRODUCT(($AW$5:$BQ$5="CO1")*AW20:BQ20)</f>
        <v/>
      </c>
      <c r="BU20" s="37">
        <f>SUMPRODUCT(($AW$5:$BR$5="CO2")*AW20:BR20)</f>
        <v/>
      </c>
      <c r="BV20" s="37">
        <f>SUMPRODUCT(($AW$5:$BR$5="CO3")*AW20:BR20)</f>
        <v/>
      </c>
      <c r="BW20" s="37">
        <f>SUMPRODUCT(($AW$5:$BR$5="CO4")*AW20:BR20)</f>
        <v/>
      </c>
      <c r="BX20" s="37">
        <f>SUMPRODUCT(($AW$5:$BR$5="CO5")*AW20:BR20)</f>
        <v/>
      </c>
      <c r="BY20" s="37">
        <f>SUMPRODUCT(($AW$5:$BR$5="CO6")*AW20:BR20)</f>
        <v/>
      </c>
      <c r="BZ20" s="33">
        <f>SUM(BT20:BY20)</f>
        <v/>
      </c>
      <c r="CB20" s="38">
        <f>BT20/$BT$7*100</f>
        <v/>
      </c>
      <c r="CC20" s="38">
        <f>BU20/$BU$7*100</f>
        <v/>
      </c>
      <c r="CD20" s="38">
        <f>BV20/$BV$7*100</f>
        <v/>
      </c>
      <c r="CE20" s="38">
        <f>BW20/$BW$7*100</f>
        <v/>
      </c>
      <c r="CF20" s="38">
        <f>BX20/$BX$7*100</f>
        <v/>
      </c>
      <c r="CG20" s="38">
        <f>BY20/$BY$7*100</f>
        <v/>
      </c>
    </row>
    <row r="21" ht="15.5" customHeight="1">
      <c r="A21" s="43" t="n">
        <v>14</v>
      </c>
      <c r="B21" s="43" t="inlineStr">
        <is>
          <t>Muthukkumaran S</t>
        </is>
      </c>
      <c r="C21" s="43" t="inlineStr">
        <is>
          <t>SECTION C</t>
        </is>
      </c>
      <c r="D21" s="4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28">
        <f>SUM(E21:P21)+(IF(Q21&lt;&gt;"",Q21,R21))+(IF(S21&lt;&gt;"",S21,T21))+(IF(U21&lt;&gt;"",U21,V21))+(IF(W21&lt;&gt;"",W21,X21))</f>
        <v/>
      </c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31">
        <f>SUM(AA21:AL21)+(IF(AM21&lt;&gt;"",AM21,AN21))+(IF(AO21&lt;&gt;"",AO21,AP21))+(IF(AQ21&lt;&gt;"",AQ21,AR21))+(IF(AS21&lt;&gt;"",AS21,AT21))</f>
        <v/>
      </c>
      <c r="AW21" s="32">
        <f>SUMPRODUCT(($E$5:$P$5="CO1")*(E21:P21))
+SUMPRODUCT(($AA$5:$AL$5="CO1")*(AA21:AL21))
+IF($Q$5="CO1",IF(Q21&lt;&gt;"",Q21,R21),0)
+IF($S$5="CO1",IF(S21&lt;&gt;"",S21,T21),0)
+IF($U$5="CO1",IF(U21&lt;&gt;"",U21,V21),0)
+IF($W$5="CO1",IF(W21&lt;&gt;"",W21,X21),0)
+IF($AM$5="CO1",IF(AM21&lt;&gt;"",AM21,AN21),0)
+IF($AO$5="CO1",IF(AO21&lt;&gt;"",AO21,AP21),0)
+IF($AQ$5="CO1",IF(AQ21&lt;&gt;"",AQ21,AR21),0)
+IF($AS$5="CO1",IF(AS21&lt;&gt;"",AS21,AT21),0)</f>
        <v/>
      </c>
      <c r="AX21" s="32">
        <f>SUMPRODUCT(($E$5:$P$5="CO2")*(E21:P21))
+SUMPRODUCT(($AA$5:$AL$5="CO2")*(AA21:AL21))
+IF($Q$5="CO2",IF(R21&lt;&gt;"",R21,S21),0)
+IF($S$5="CO2",IF(T21&lt;&gt;"",T21,U21),0)
+IF($U$5="CO2",IF(V21&lt;&gt;"",V21,W21),0)
+IF($W$5="CO2",IF(X21&lt;&gt;"",X21,Y21),0)
+IF($AM$5="CO2",IF(AN21&lt;&gt;"",AN21,AO21),0)
+IF($AO$5="CO2",IF(AP21&lt;&gt;"",AP21,AQ21),0)
+IF($AQ$5="CO2",IF(AR21&lt;&gt;"",AR21,AS21),0)
+IF($AS$5="CO2",IF(AT21&lt;&gt;"",AT21,AU21),0)</f>
        <v/>
      </c>
      <c r="AY21" s="32">
        <f>SUMPRODUCT(($E$5:$P$5="CO3")*(E21:P21))
+SUMPRODUCT(($AA$5:$AL$5="CO3")*(AA21:AL21))
+IF($Q$5="CO3",IF(Q21&lt;&gt;"",Q21,R21),0)
+IF($S$5="CO3",IF(S21&lt;&gt;"",S21,T21),0)
+IF($U$5="CO3",IF(U21&lt;&gt;"",U21,V21),0)
+IF($W$5="CO3",IF(W21&lt;&gt;"",W21,X21),0)
+IF($AM$5="CO3",IF(AM21&lt;&gt;"",AM21,AN21),0)
+IF($AO$5="CO3",IF(AO21&lt;&gt;"",AO21,AP21),0)
+IF($AQ$5="CO3",IF(AQ21&lt;&gt;"",AQ21,AR21),0)
+IF($AS$5="CO3",IF(AS21&lt;&gt;"",AS21,AT21),0)</f>
        <v/>
      </c>
      <c r="AZ21" s="32">
        <f>SUMPRODUCT(($E$5:$P$5="CO4")*(E21:P21))
+SUMPRODUCT(($AA$5:$AL$5="CO4")*(AA21:AL21))
+IF($Q$5="CO4",IF(Q21&lt;&gt;"",Q21,R21),0)
+IF($S$5="CO4",IF(S21&lt;&gt;"",S21,T21),0)
+IF($U$5="CO4",IF(U21&lt;&gt;"",U21,V21),0)
+IF($W$5="CO4",IF(W21&lt;&gt;"",W21,X21),0)
+IF($AM$5="CO4",IF(AM21&lt;&gt;"",AM21,AN21),0)
+IF($AO$5="CO4",IF(AO21&lt;&gt;"",AO21,AP21),0)
+IF($AQ$5="CO4",IF(AQ21&lt;&gt;"",AQ21,AR21),0)
+IF($AS$5="CO4",IF(AS21&lt;&gt;"",AS21,AT21),0)</f>
        <v/>
      </c>
      <c r="BA21" s="32">
        <f>SUMPRODUCT(($E$5:$P$5="CO5")*(E21:P21))
+SUMPRODUCT(($AA$5:$AL$5="CO5")*(AA21:AL21))
+IF($Q$5="CO5",IF(Q21&lt;&gt;"",Q21,R21),0)
+IF($S$5="CO5",IF(S21&lt;&gt;"",S21,T21),0)
+IF($U$5="CO5",IF(U21&lt;&gt;"",U21,V21),0)
+IF($W$5="CO5",IF(W21&lt;&gt;"",W21,X21),0)
+IF($AM$5="CO5",IF(AM21&lt;&gt;"",AM21,AN21),0)
+IF($AO$5="CO5",IF(AO21&lt;&gt;"",AO21,AP21),0)
+IF($AQ$5="CO5",IF(AQ21&lt;&gt;"",AQ21,AR21),0)
+IF($AS$5="CO5",IF(AS21&lt;&gt;"",AS21,AT21),0)</f>
        <v/>
      </c>
      <c r="BB21" s="32">
        <f>SUMPRODUCT(($E$5:$P$5="CO6")*(E21:P21))
+SUMPRODUCT(($AA$5:$AL$5="CO6")*(AA21:AL21))
+IF($Q$5="CO6",IF(Q21&lt;&gt;"",Q21,R21),0)
+IF($S$5="CO6",IF(S21&lt;&gt;"",S21,T21),0)
+IF($U$5="CO6",IF(U21&lt;&gt;"",U21,V21),0)
+IF($W$5="CO6",IF(W21&lt;&gt;"",W21,X21),0)
+IF($AM$5="CO6",IF(AM21&lt;&gt;"",AM21,AN21),0)
+IF($AO$5="CO6",IF(AO21&lt;&gt;"",AO21,AP21),0)
+IF($AQ$5="CO6",IF(AQ21&lt;&gt;"",AQ21,AR21),0)
+IF($AS$5="CO6",IF(AS21&lt;&gt;"",AS21,AT21),0)</f>
        <v/>
      </c>
      <c r="BD21" s="30" t="n">
        <v>12</v>
      </c>
      <c r="BE21" s="30" t="n">
        <v>14</v>
      </c>
      <c r="BF21" s="30" t="n">
        <v>14</v>
      </c>
      <c r="BG21" s="5" t="n"/>
      <c r="BH21" s="5" t="n"/>
      <c r="BI21" s="5" t="n"/>
      <c r="BJ21" s="25">
        <f>SUM(BD21:BI21)</f>
        <v/>
      </c>
      <c r="BL21" s="5" t="n">
        <v>8</v>
      </c>
      <c r="BM21" s="5" t="n">
        <v>8</v>
      </c>
      <c r="BN21" s="5" t="n">
        <v>12</v>
      </c>
      <c r="BO21" s="5" t="n">
        <v>12</v>
      </c>
      <c r="BP21" s="5" t="n"/>
      <c r="BQ21" s="5" t="n"/>
      <c r="BR21" s="33">
        <f>SUM(BL21:BQ21)</f>
        <v/>
      </c>
      <c r="BT21" s="36">
        <f>SUMPRODUCT(($AW$5:$BQ$5="CO1")*AW21:BQ21)</f>
        <v/>
      </c>
      <c r="BU21" s="37">
        <f>SUMPRODUCT(($AW$5:$BR$5="CO2")*AW21:BR21)</f>
        <v/>
      </c>
      <c r="BV21" s="37">
        <f>SUMPRODUCT(($AW$5:$BR$5="CO3")*AW21:BR21)</f>
        <v/>
      </c>
      <c r="BW21" s="37">
        <f>SUMPRODUCT(($AW$5:$BR$5="CO4")*AW21:BR21)</f>
        <v/>
      </c>
      <c r="BX21" s="37">
        <f>SUMPRODUCT(($AW$5:$BR$5="CO5")*AW21:BR21)</f>
        <v/>
      </c>
      <c r="BY21" s="37">
        <f>SUMPRODUCT(($AW$5:$BR$5="CO6")*AW21:BR21)</f>
        <v/>
      </c>
      <c r="BZ21" s="33">
        <f>SUM(BT21:BY21)</f>
        <v/>
      </c>
      <c r="CB21" s="38">
        <f>BT21/$BT$7*100</f>
        <v/>
      </c>
      <c r="CC21" s="38">
        <f>BU21/$BU$7*100</f>
        <v/>
      </c>
      <c r="CD21" s="38">
        <f>BV21/$BV$7*100</f>
        <v/>
      </c>
      <c r="CE21" s="38">
        <f>BW21/$BW$7*100</f>
        <v/>
      </c>
      <c r="CF21" s="38">
        <f>BX21/$BX$7*100</f>
        <v/>
      </c>
      <c r="CG21" s="38">
        <f>BY21/$BY$7*100</f>
        <v/>
      </c>
    </row>
    <row r="22" ht="15.5" customHeight="1">
      <c r="A22" s="43" t="n">
        <v>15</v>
      </c>
      <c r="B22" s="43" t="inlineStr">
        <is>
          <t>Naka vasanth S</t>
        </is>
      </c>
      <c r="C22" s="43" t="inlineStr">
        <is>
          <t>SECTION C</t>
        </is>
      </c>
      <c r="D22" s="4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28">
        <f>SUM(E22:P22)+(IF(Q22&lt;&gt;"",Q22,R22))+(IF(S22&lt;&gt;"",S22,T22))+(IF(U22&lt;&gt;"",U22,V22))+(IF(W22&lt;&gt;"",W22,X22))</f>
        <v/>
      </c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31">
        <f>SUM(AA22:AL22)+(IF(AM22&lt;&gt;"",AM22,AN22))+(IF(AO22&lt;&gt;"",AO22,AP22))+(IF(AQ22&lt;&gt;"",AQ22,AR22))+(IF(AS22&lt;&gt;"",AS22,AT22))</f>
        <v/>
      </c>
      <c r="AW22" s="32">
        <f>SUMPRODUCT(($E$5:$P$5="CO1")*(E22:P22))
+SUMPRODUCT(($AA$5:$AL$5="CO1")*(AA22:AL22))
+IF($Q$5="CO1",IF(Q22&lt;&gt;"",Q22,R22),0)
+IF($S$5="CO1",IF(S22&lt;&gt;"",S22,T22),0)
+IF($U$5="CO1",IF(U22&lt;&gt;"",U22,V22),0)
+IF($W$5="CO1",IF(W22&lt;&gt;"",W22,X22),0)
+IF($AM$5="CO1",IF(AM22&lt;&gt;"",AM22,AN22),0)
+IF($AO$5="CO1",IF(AO22&lt;&gt;"",AO22,AP22),0)
+IF($AQ$5="CO1",IF(AQ22&lt;&gt;"",AQ22,AR22),0)
+IF($AS$5="CO1",IF(AS22&lt;&gt;"",AS22,AT22),0)</f>
        <v/>
      </c>
      <c r="AX22" s="32">
        <f>SUMPRODUCT(($E$5:$P$5="CO2")*(E22:P22))
+SUMPRODUCT(($AA$5:$AL$5="CO2")*(AA22:AL22))
+IF($Q$5="CO2",IF(R22&lt;&gt;"",R22,S22),0)
+IF($S$5="CO2",IF(T22&lt;&gt;"",T22,U22),0)
+IF($U$5="CO2",IF(V22&lt;&gt;"",V22,W22),0)
+IF($W$5="CO2",IF(X22&lt;&gt;"",X22,Y22),0)
+IF($AM$5="CO2",IF(AN22&lt;&gt;"",AN22,AO22),0)
+IF($AO$5="CO2",IF(AP22&lt;&gt;"",AP22,AQ22),0)
+IF($AQ$5="CO2",IF(AR22&lt;&gt;"",AR22,AS22),0)
+IF($AS$5="CO2",IF(AT22&lt;&gt;"",AT22,AU22),0)</f>
        <v/>
      </c>
      <c r="AY22" s="32">
        <f>SUMPRODUCT(($E$5:$P$5="CO3")*(E22:P22))
+SUMPRODUCT(($AA$5:$AL$5="CO3")*(AA22:AL22))
+IF($Q$5="CO3",IF(Q22&lt;&gt;"",Q22,R22),0)
+IF($S$5="CO3",IF(S22&lt;&gt;"",S22,T22),0)
+IF($U$5="CO3",IF(U22&lt;&gt;"",U22,V22),0)
+IF($W$5="CO3",IF(W22&lt;&gt;"",W22,X22),0)
+IF($AM$5="CO3",IF(AM22&lt;&gt;"",AM22,AN22),0)
+IF($AO$5="CO3",IF(AO22&lt;&gt;"",AO22,AP22),0)
+IF($AQ$5="CO3",IF(AQ22&lt;&gt;"",AQ22,AR22),0)
+IF($AS$5="CO3",IF(AS22&lt;&gt;"",AS22,AT22),0)</f>
        <v/>
      </c>
      <c r="AZ22" s="32">
        <f>SUMPRODUCT(($E$5:$P$5="CO4")*(E22:P22))
+SUMPRODUCT(($AA$5:$AL$5="CO4")*(AA22:AL22))
+IF($Q$5="CO4",IF(Q22&lt;&gt;"",Q22,R22),0)
+IF($S$5="CO4",IF(S22&lt;&gt;"",S22,T22),0)
+IF($U$5="CO4",IF(U22&lt;&gt;"",U22,V22),0)
+IF($W$5="CO4",IF(W22&lt;&gt;"",W22,X22),0)
+IF($AM$5="CO4",IF(AM22&lt;&gt;"",AM22,AN22),0)
+IF($AO$5="CO4",IF(AO22&lt;&gt;"",AO22,AP22),0)
+IF($AQ$5="CO4",IF(AQ22&lt;&gt;"",AQ22,AR22),0)
+IF($AS$5="CO4",IF(AS22&lt;&gt;"",AS22,AT22),0)</f>
        <v/>
      </c>
      <c r="BA22" s="32">
        <f>SUMPRODUCT(($E$5:$P$5="CO5")*(E22:P22))
+SUMPRODUCT(($AA$5:$AL$5="CO5")*(AA22:AL22))
+IF($Q$5="CO5",IF(Q22&lt;&gt;"",Q22,R22),0)
+IF($S$5="CO5",IF(S22&lt;&gt;"",S22,T22),0)
+IF($U$5="CO5",IF(U22&lt;&gt;"",U22,V22),0)
+IF($W$5="CO5",IF(W22&lt;&gt;"",W22,X22),0)
+IF($AM$5="CO5",IF(AM22&lt;&gt;"",AM22,AN22),0)
+IF($AO$5="CO5",IF(AO22&lt;&gt;"",AO22,AP22),0)
+IF($AQ$5="CO5",IF(AQ22&lt;&gt;"",AQ22,AR22),0)
+IF($AS$5="CO5",IF(AS22&lt;&gt;"",AS22,AT22),0)</f>
        <v/>
      </c>
      <c r="BB22" s="32">
        <f>SUMPRODUCT(($E$5:$P$5="CO6")*(E22:P22))
+SUMPRODUCT(($AA$5:$AL$5="CO6")*(AA22:AL22))
+IF($Q$5="CO6",IF(Q22&lt;&gt;"",Q22,R22),0)
+IF($S$5="CO6",IF(S22&lt;&gt;"",S22,T22),0)
+IF($U$5="CO6",IF(U22&lt;&gt;"",U22,V22),0)
+IF($W$5="CO6",IF(W22&lt;&gt;"",W22,X22),0)
+IF($AM$5="CO6",IF(AM22&lt;&gt;"",AM22,AN22),0)
+IF($AO$5="CO6",IF(AO22&lt;&gt;"",AO22,AP22),0)
+IF($AQ$5="CO6",IF(AQ22&lt;&gt;"",AQ22,AR22),0)
+IF($AS$5="CO6",IF(AS22&lt;&gt;"",AS22,AT22),0)</f>
        <v/>
      </c>
      <c r="BD22" s="30" t="n">
        <v>12</v>
      </c>
      <c r="BE22" s="30" t="n">
        <v>14</v>
      </c>
      <c r="BF22" s="30" t="n">
        <v>14</v>
      </c>
      <c r="BG22" s="5" t="n"/>
      <c r="BH22" s="5" t="n"/>
      <c r="BI22" s="5" t="n"/>
      <c r="BJ22" s="25">
        <f>SUM(BD22:BI22)</f>
        <v/>
      </c>
      <c r="BL22" s="5" t="n">
        <v>8</v>
      </c>
      <c r="BM22" s="5" t="n">
        <v>8</v>
      </c>
      <c r="BN22" s="5" t="n">
        <v>12</v>
      </c>
      <c r="BO22" s="5" t="n">
        <v>12</v>
      </c>
      <c r="BP22" s="5" t="n"/>
      <c r="BQ22" s="5" t="n"/>
      <c r="BR22" s="33">
        <f>SUM(BL22:BQ22)</f>
        <v/>
      </c>
      <c r="BT22" s="36">
        <f>SUMPRODUCT(($AW$5:$BQ$5="CO1")*AW22:BQ22)</f>
        <v/>
      </c>
      <c r="BU22" s="37">
        <f>SUMPRODUCT(($AW$5:$BR$5="CO2")*AW22:BR22)</f>
        <v/>
      </c>
      <c r="BV22" s="37">
        <f>SUMPRODUCT(($AW$5:$BR$5="CO3")*AW22:BR22)</f>
        <v/>
      </c>
      <c r="BW22" s="37">
        <f>SUMPRODUCT(($AW$5:$BR$5="CO4")*AW22:BR22)</f>
        <v/>
      </c>
      <c r="BX22" s="37">
        <f>SUMPRODUCT(($AW$5:$BR$5="CO5")*AW22:BR22)</f>
        <v/>
      </c>
      <c r="BY22" s="37">
        <f>SUMPRODUCT(($AW$5:$BR$5="CO6")*AW22:BR22)</f>
        <v/>
      </c>
      <c r="BZ22" s="33">
        <f>SUM(BT22:BY22)</f>
        <v/>
      </c>
      <c r="CB22" s="38">
        <f>BT22/$BT$7*100</f>
        <v/>
      </c>
      <c r="CC22" s="38">
        <f>BU22/$BU$7*100</f>
        <v/>
      </c>
      <c r="CD22" s="38">
        <f>BV22/$BV$7*100</f>
        <v/>
      </c>
      <c r="CE22" s="38">
        <f>BW22/$BW$7*100</f>
        <v/>
      </c>
      <c r="CF22" s="38">
        <f>BX22/$BX$7*100</f>
        <v/>
      </c>
      <c r="CG22" s="38">
        <f>BY22/$BY$7*100</f>
        <v/>
      </c>
    </row>
    <row r="23" ht="15.5" customHeight="1">
      <c r="A23" s="43" t="n">
        <v>16</v>
      </c>
      <c r="B23" s="43" t="inlineStr">
        <is>
          <t>Nihill Prasanth M</t>
        </is>
      </c>
      <c r="C23" s="43" t="inlineStr">
        <is>
          <t>SECTION C</t>
        </is>
      </c>
      <c r="D23" s="4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28">
        <f>SUM(E23:P23)+(IF(Q23&lt;&gt;"",Q23,R23))+(IF(S23&lt;&gt;"",S23,T23))+(IF(U23&lt;&gt;"",U23,V23))+(IF(W23&lt;&gt;"",W23,X23))</f>
        <v/>
      </c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31">
        <f>SUM(AA23:AL23)+(IF(AM23&lt;&gt;"",AM23,AN23))+(IF(AO23&lt;&gt;"",AO23,AP23))+(IF(AQ23&lt;&gt;"",AQ23,AR23))+(IF(AS23&lt;&gt;"",AS23,AT23))</f>
        <v/>
      </c>
      <c r="AW23" s="32">
        <f>SUMPRODUCT(($E$5:$P$5="CO1")*(E23:P23))
+SUMPRODUCT(($AA$5:$AL$5="CO1")*(AA23:AL23))
+IF($Q$5="CO1",IF(Q23&lt;&gt;"",Q23,R23),0)
+IF($S$5="CO1",IF(S23&lt;&gt;"",S23,T23),0)
+IF($U$5="CO1",IF(U23&lt;&gt;"",U23,V23),0)
+IF($W$5="CO1",IF(W23&lt;&gt;"",W23,X23),0)
+IF($AM$5="CO1",IF(AM23&lt;&gt;"",AM23,AN23),0)
+IF($AO$5="CO1",IF(AO23&lt;&gt;"",AO23,AP23),0)
+IF($AQ$5="CO1",IF(AQ23&lt;&gt;"",AQ23,AR23),0)
+IF($AS$5="CO1",IF(AS23&lt;&gt;"",AS23,AT23),0)</f>
        <v/>
      </c>
      <c r="AX23" s="32">
        <f>SUMPRODUCT(($E$5:$P$5="CO2")*(E23:P23))
+SUMPRODUCT(($AA$5:$AL$5="CO2")*(AA23:AL23))
+IF($Q$5="CO2",IF(R23&lt;&gt;"",R23,S23),0)
+IF($S$5="CO2",IF(T23&lt;&gt;"",T23,U23),0)
+IF($U$5="CO2",IF(V23&lt;&gt;"",V23,W23),0)
+IF($W$5="CO2",IF(X23&lt;&gt;"",X23,Y23),0)
+IF($AM$5="CO2",IF(AN23&lt;&gt;"",AN23,AO23),0)
+IF($AO$5="CO2",IF(AP23&lt;&gt;"",AP23,AQ23),0)
+IF($AQ$5="CO2",IF(AR23&lt;&gt;"",AR23,AS23),0)
+IF($AS$5="CO2",IF(AT23&lt;&gt;"",AT23,AU23),0)</f>
        <v/>
      </c>
      <c r="AY23" s="32">
        <f>SUMPRODUCT(($E$5:$P$5="CO3")*(E23:P23))
+SUMPRODUCT(($AA$5:$AL$5="CO3")*(AA23:AL23))
+IF($Q$5="CO3",IF(Q23&lt;&gt;"",Q23,R23),0)
+IF($S$5="CO3",IF(S23&lt;&gt;"",S23,T23),0)
+IF($U$5="CO3",IF(U23&lt;&gt;"",U23,V23),0)
+IF($W$5="CO3",IF(W23&lt;&gt;"",W23,X23),0)
+IF($AM$5="CO3",IF(AM23&lt;&gt;"",AM23,AN23),0)
+IF($AO$5="CO3",IF(AO23&lt;&gt;"",AO23,AP23),0)
+IF($AQ$5="CO3",IF(AQ23&lt;&gt;"",AQ23,AR23),0)
+IF($AS$5="CO3",IF(AS23&lt;&gt;"",AS23,AT23),0)</f>
        <v/>
      </c>
      <c r="AZ23" s="32">
        <f>SUMPRODUCT(($E$5:$P$5="CO4")*(E23:P23))
+SUMPRODUCT(($AA$5:$AL$5="CO4")*(AA23:AL23))
+IF($Q$5="CO4",IF(Q23&lt;&gt;"",Q23,R23),0)
+IF($S$5="CO4",IF(S23&lt;&gt;"",S23,T23),0)
+IF($U$5="CO4",IF(U23&lt;&gt;"",U23,V23),0)
+IF($W$5="CO4",IF(W23&lt;&gt;"",W23,X23),0)
+IF($AM$5="CO4",IF(AM23&lt;&gt;"",AM23,AN23),0)
+IF($AO$5="CO4",IF(AO23&lt;&gt;"",AO23,AP23),0)
+IF($AQ$5="CO4",IF(AQ23&lt;&gt;"",AQ23,AR23),0)
+IF($AS$5="CO4",IF(AS23&lt;&gt;"",AS23,AT23),0)</f>
        <v/>
      </c>
      <c r="BA23" s="32">
        <f>SUMPRODUCT(($E$5:$P$5="CO5")*(E23:P23))
+SUMPRODUCT(($AA$5:$AL$5="CO5")*(AA23:AL23))
+IF($Q$5="CO5",IF(Q23&lt;&gt;"",Q23,R23),0)
+IF($S$5="CO5",IF(S23&lt;&gt;"",S23,T23),0)
+IF($U$5="CO5",IF(U23&lt;&gt;"",U23,V23),0)
+IF($W$5="CO5",IF(W23&lt;&gt;"",W23,X23),0)
+IF($AM$5="CO5",IF(AM23&lt;&gt;"",AM23,AN23),0)
+IF($AO$5="CO5",IF(AO23&lt;&gt;"",AO23,AP23),0)
+IF($AQ$5="CO5",IF(AQ23&lt;&gt;"",AQ23,AR23),0)
+IF($AS$5="CO5",IF(AS23&lt;&gt;"",AS23,AT23),0)</f>
        <v/>
      </c>
      <c r="BB23" s="32">
        <f>SUMPRODUCT(($E$5:$P$5="CO6")*(E23:P23))
+SUMPRODUCT(($AA$5:$AL$5="CO6")*(AA23:AL23))
+IF($Q$5="CO6",IF(Q23&lt;&gt;"",Q23,R23),0)
+IF($S$5="CO6",IF(S23&lt;&gt;"",S23,T23),0)
+IF($U$5="CO6",IF(U23&lt;&gt;"",U23,V23),0)
+IF($W$5="CO6",IF(W23&lt;&gt;"",W23,X23),0)
+IF($AM$5="CO6",IF(AM23&lt;&gt;"",AM23,AN23),0)
+IF($AO$5="CO6",IF(AO23&lt;&gt;"",AO23,AP23),0)
+IF($AQ$5="CO6",IF(AQ23&lt;&gt;"",AQ23,AR23),0)
+IF($AS$5="CO6",IF(AS23&lt;&gt;"",AS23,AT23),0)</f>
        <v/>
      </c>
      <c r="BD23" s="30" t="n">
        <v>12</v>
      </c>
      <c r="BE23" s="30" t="n">
        <v>14</v>
      </c>
      <c r="BF23" s="30" t="n">
        <v>14</v>
      </c>
      <c r="BG23" s="5" t="n"/>
      <c r="BH23" s="5" t="n"/>
      <c r="BI23" s="5" t="n"/>
      <c r="BJ23" s="25">
        <f>SUM(BD23:BI23)</f>
        <v/>
      </c>
      <c r="BL23" s="5" t="n">
        <v>8</v>
      </c>
      <c r="BM23" s="5" t="n">
        <v>8</v>
      </c>
      <c r="BN23" s="5" t="n">
        <v>12</v>
      </c>
      <c r="BO23" s="5" t="n">
        <v>12</v>
      </c>
      <c r="BP23" s="5" t="n"/>
      <c r="BQ23" s="5" t="n"/>
      <c r="BR23" s="33">
        <f>SUM(BL23:BQ23)</f>
        <v/>
      </c>
      <c r="BT23" s="36">
        <f>SUMPRODUCT(($AW$5:$BQ$5="CO1")*AW23:BQ23)</f>
        <v/>
      </c>
      <c r="BU23" s="37">
        <f>SUMPRODUCT(($AW$5:$BR$5="CO2")*AW23:BR23)</f>
        <v/>
      </c>
      <c r="BV23" s="37">
        <f>SUMPRODUCT(($AW$5:$BR$5="CO3")*AW23:BR23)</f>
        <v/>
      </c>
      <c r="BW23" s="37">
        <f>SUMPRODUCT(($AW$5:$BR$5="CO4")*AW23:BR23)</f>
        <v/>
      </c>
      <c r="BX23" s="37">
        <f>SUMPRODUCT(($AW$5:$BR$5="CO5")*AW23:BR23)</f>
        <v/>
      </c>
      <c r="BY23" s="37">
        <f>SUMPRODUCT(($AW$5:$BR$5="CO6")*AW23:BR23)</f>
        <v/>
      </c>
      <c r="BZ23" s="33">
        <f>SUM(BT23:BY23)</f>
        <v/>
      </c>
      <c r="CB23" s="38">
        <f>BT23/$BT$7*100</f>
        <v/>
      </c>
      <c r="CC23" s="38">
        <f>BU23/$BU$7*100</f>
        <v/>
      </c>
      <c r="CD23" s="38">
        <f>BV23/$BV$7*100</f>
        <v/>
      </c>
      <c r="CE23" s="38">
        <f>BW23/$BW$7*100</f>
        <v/>
      </c>
      <c r="CF23" s="38">
        <f>BX23/$BX$7*100</f>
        <v/>
      </c>
      <c r="CG23" s="38">
        <f>BY23/$BY$7*100</f>
        <v/>
      </c>
    </row>
    <row r="24" ht="15.5" customHeight="1">
      <c r="A24" s="43" t="n">
        <v>17</v>
      </c>
      <c r="B24" s="43" t="inlineStr">
        <is>
          <t>PRADEEP RAJ P</t>
        </is>
      </c>
      <c r="C24" s="43" t="inlineStr">
        <is>
          <t>SECTION C</t>
        </is>
      </c>
      <c r="D24" s="4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28">
        <f>SUM(E24:P24)+(IF(Q24&lt;&gt;"",Q24,R24))+(IF(S24&lt;&gt;"",S24,T24))+(IF(U24&lt;&gt;"",U24,V24))+(IF(W24&lt;&gt;"",W24,X24))</f>
        <v/>
      </c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31">
        <f>SUM(AA24:AL24)+(IF(AM24&lt;&gt;"",AM24,AN24))+(IF(AO24&lt;&gt;"",AO24,AP24))+(IF(AQ24&lt;&gt;"",AQ24,AR24))+(IF(AS24&lt;&gt;"",AS24,AT24))</f>
        <v/>
      </c>
      <c r="AW24" s="29">
        <f>SUMPRODUCT(($E$5:$P$5="CO1")*(E24:P24))
+SUMPRODUCT(($AA$5:$AL$5="CO1")*(AA24:AL24))
+IF($Q$5="CO1",IF(Q24&lt;&gt;"",Q24,R24),0)
+IF($S$5="CO1",IF(S24&lt;&gt;"",S24,T24),0)
+IF($U$5="CO1",IF(U24&lt;&gt;"",U24,V24),0)
+IF($W$5="CO1",IF(W24&lt;&gt;"",W24,X24),0)
+IF($AM$5="CO1",IF(AM24&lt;&gt;"",AM24,AN24),0)
+IF($AO$5="CO1",IF(AO24&lt;&gt;"",AO24,AP24),0)
+IF($AQ$5="CO1",IF(AQ24&lt;&gt;"",AQ24,AR24),0)
+IF($AS$5="CO1",IF(AS24&lt;&gt;"",AS24,AT24),0)</f>
        <v/>
      </c>
      <c r="AX24" s="32">
        <f>SUMPRODUCT(($E$5:$P$5="CO2")*(E24:P24))
+SUMPRODUCT(($AA$5:$AL$5="CO2")*(AA24:AL24))
+IF($Q$5="CO2",IF(R24&lt;&gt;"",R24,S24),0)
+IF($S$5="CO2",IF(T24&lt;&gt;"",T24,U24),0)
+IF($U$5="CO2",IF(V24&lt;&gt;"",V24,W24),0)
+IF($W$5="CO2",IF(X24&lt;&gt;"",X24,Y24),0)
+IF($AM$5="CO2",IF(AN24&lt;&gt;"",AN24,AO24),0)
+IF($AO$5="CO2",IF(AP24&lt;&gt;"",AP24,AQ24),0)
+IF($AQ$5="CO2",IF(AR24&lt;&gt;"",AR24,AS24),0)
+IF($AS$5="CO2",IF(AT24&lt;&gt;"",AT24,AU24),0)</f>
        <v/>
      </c>
      <c r="AY24" s="32">
        <f>SUMPRODUCT(($E$5:$P$5="CO3")*(E24:P24))
+SUMPRODUCT(($AA$5:$AL$5="CO3")*(AA24:AL24))
+IF($Q$5="CO3",IF(Q24&lt;&gt;"",Q24,R24),0)
+IF($S$5="CO3",IF(S24&lt;&gt;"",S24,T24),0)
+IF($U$5="CO3",IF(U24&lt;&gt;"",U24,V24),0)
+IF($W$5="CO3",IF(W24&lt;&gt;"",W24,X24),0)
+IF($AM$5="CO3",IF(AM24&lt;&gt;"",AM24,AN24),0)
+IF($AO$5="CO3",IF(AO24&lt;&gt;"",AO24,AP24),0)
+IF($AQ$5="CO3",IF(AQ24&lt;&gt;"",AQ24,AR24),0)
+IF($AS$5="CO3",IF(AS24&lt;&gt;"",AS24,AT24),0)</f>
        <v/>
      </c>
      <c r="AZ24" s="32">
        <f>SUMPRODUCT(($E$5:$P$5="CO4")*(E24:P24))
+SUMPRODUCT(($AA$5:$AL$5="CO4")*(AA24:AL24))
+IF($Q$5="CO4",IF(Q24&lt;&gt;"",Q24,R24),0)
+IF($S$5="CO4",IF(S24&lt;&gt;"",S24,T24),0)
+IF($U$5="CO4",IF(U24&lt;&gt;"",U24,V24),0)
+IF($W$5="CO4",IF(W24&lt;&gt;"",W24,X24),0)
+IF($AM$5="CO4",IF(AM24&lt;&gt;"",AM24,AN24),0)
+IF($AO$5="CO4",IF(AO24&lt;&gt;"",AO24,AP24),0)
+IF($AQ$5="CO4",IF(AQ24&lt;&gt;"",AQ24,AR24),0)
+IF($AS$5="CO4",IF(AS24&lt;&gt;"",AS24,AT24),0)</f>
        <v/>
      </c>
      <c r="BA24" s="32">
        <f>SUMPRODUCT(($E$5:$P$5="CO5")*(E24:P24))
+SUMPRODUCT(($AA$5:$AL$5="CO5")*(AA24:AL24))
+IF($Q$5="CO5",IF(Q24&lt;&gt;"",Q24,R24),0)
+IF($S$5="CO5",IF(S24&lt;&gt;"",S24,T24),0)
+IF($U$5="CO5",IF(U24&lt;&gt;"",U24,V24),0)
+IF($W$5="CO5",IF(W24&lt;&gt;"",W24,X24),0)
+IF($AM$5="CO5",IF(AM24&lt;&gt;"",AM24,AN24),0)
+IF($AO$5="CO5",IF(AO24&lt;&gt;"",AO24,AP24),0)
+IF($AQ$5="CO5",IF(AQ24&lt;&gt;"",AQ24,AR24),0)
+IF($AS$5="CO5",IF(AS24&lt;&gt;"",AS24,AT24),0)</f>
        <v/>
      </c>
      <c r="BB24" s="32">
        <f>SUMPRODUCT(($E$5:$P$5="CO6")*(E24:P24))
+SUMPRODUCT(($AA$5:$AL$5="CO6")*(AA24:AL24))
+IF($Q$5="CO6",IF(Q24&lt;&gt;"",Q24,R24),0)
+IF($S$5="CO6",IF(S24&lt;&gt;"",S24,T24),0)
+IF($U$5="CO6",IF(U24&lt;&gt;"",U24,V24),0)
+IF($W$5="CO6",IF(W24&lt;&gt;"",W24,X24),0)
+IF($AM$5="CO6",IF(AM24&lt;&gt;"",AM24,AN24),0)
+IF($AO$5="CO6",IF(AO24&lt;&gt;"",AO24,AP24),0)
+IF($AQ$5="CO6",IF(AQ24&lt;&gt;"",AQ24,AR24),0)
+IF($AS$5="CO6",IF(AS24&lt;&gt;"",AS24,AT24),0)</f>
        <v/>
      </c>
      <c r="BD24" s="30" t="n">
        <v>12</v>
      </c>
      <c r="BE24" s="30" t="n">
        <v>14</v>
      </c>
      <c r="BF24" s="30" t="n">
        <v>14</v>
      </c>
      <c r="BG24" s="5" t="n"/>
      <c r="BH24" s="5" t="n"/>
      <c r="BI24" s="5" t="n"/>
      <c r="BJ24" s="25">
        <f>SUM(BD24:BI24)</f>
        <v/>
      </c>
      <c r="BL24" s="5" t="n">
        <v>8</v>
      </c>
      <c r="BM24" s="5" t="n">
        <v>8</v>
      </c>
      <c r="BN24" s="5" t="n">
        <v>12</v>
      </c>
      <c r="BO24" s="5" t="n">
        <v>12</v>
      </c>
      <c r="BP24" s="5" t="n"/>
      <c r="BQ24" s="5" t="n"/>
      <c r="BR24" s="33">
        <f>SUM(BL24:BQ24)</f>
        <v/>
      </c>
      <c r="BT24" s="36">
        <f>SUMPRODUCT(($AW$5:$BQ$5="CO1")*AW24:BQ24)</f>
        <v/>
      </c>
      <c r="BU24" s="37">
        <f>SUMPRODUCT(($AW$5:$BR$5="CO2")*AW24:BR24)</f>
        <v/>
      </c>
      <c r="BV24" s="37">
        <f>SUMPRODUCT(($AW$5:$BR$5="CO3")*AW24:BR24)</f>
        <v/>
      </c>
      <c r="BW24" s="37">
        <f>SUMPRODUCT(($AW$5:$BR$5="CO4")*AW24:BR24)</f>
        <v/>
      </c>
      <c r="BX24" s="37">
        <f>SUMPRODUCT(($AW$5:$BR$5="CO5")*AW24:BR24)</f>
        <v/>
      </c>
      <c r="BY24" s="37">
        <f>SUMPRODUCT(($AW$5:$BR$5="CO6")*AW24:BR24)</f>
        <v/>
      </c>
      <c r="BZ24" s="33">
        <f>SUM(BT24:BY24)</f>
        <v/>
      </c>
      <c r="CB24" s="38">
        <f>BT24/$BT$7*100</f>
        <v/>
      </c>
      <c r="CC24" s="38">
        <f>BU24/$BU$7*100</f>
        <v/>
      </c>
      <c r="CD24" s="38">
        <f>BV24/$BV$7*100</f>
        <v/>
      </c>
      <c r="CE24" s="38">
        <f>BW24/$BW$7*100</f>
        <v/>
      </c>
      <c r="CF24" s="38">
        <f>BX24/$BX$7*100</f>
        <v/>
      </c>
      <c r="CG24" s="38">
        <f>BY24/$BY$7*100</f>
        <v/>
      </c>
    </row>
    <row r="25" ht="15.5" customHeight="1">
      <c r="A25" s="43" t="n">
        <v>18</v>
      </c>
      <c r="B25" s="43" t="inlineStr">
        <is>
          <t>PRASANA VENKATESH J</t>
        </is>
      </c>
      <c r="C25" s="43" t="inlineStr">
        <is>
          <t>SECTION C</t>
        </is>
      </c>
      <c r="D25" s="4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28">
        <f>SUM(E25:P25)+(IF(Q25&lt;&gt;"",Q25,R25))+(IF(S25&lt;&gt;"",S25,T25))+(IF(U25&lt;&gt;"",U25,V25))+(IF(W25&lt;&gt;"",W25,X25))</f>
        <v/>
      </c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31">
        <f>SUM(AA25:AL25)+(IF(AM25&lt;&gt;"",AM25,AN25))+(IF(AO25&lt;&gt;"",AO25,AP25))+(IF(AQ25&lt;&gt;"",AQ25,AR25))+(IF(AS25&lt;&gt;"",AS25,AT25))</f>
        <v/>
      </c>
      <c r="AW25" s="29">
        <f>SUMPRODUCT(($E$5:$P$5="CO1")*(E25:P25))
+SUMPRODUCT(($AA$5:$AL$5="CO1")*(AA25:AL25))
+IF($Q$5="CO1",IF(Q25&lt;&gt;"",Q25,R25),0)
+IF($S$5="CO1",IF(S25&lt;&gt;"",S25,T25),0)
+IF($U$5="CO1",IF(U25&lt;&gt;"",U25,V25),0)
+IF($W$5="CO1",IF(W25&lt;&gt;"",W25,X25),0)
+IF($AM$5="CO1",IF(AM25&lt;&gt;"",AM25,AN25),0)
+IF($AO$5="CO1",IF(AO25&lt;&gt;"",AO25,AP25),0)
+IF($AQ$5="CO1",IF(AQ25&lt;&gt;"",AQ25,AR25),0)
+IF($AS$5="CO1",IF(AS25&lt;&gt;"",AS25,AT25),0)</f>
        <v/>
      </c>
      <c r="AX25" s="32">
        <f>SUMPRODUCT(($E$5:$P$5="CO2")*(E25:P25))
+SUMPRODUCT(($AA$5:$AL$5="CO2")*(AA25:AL25))
+IF($Q$5="CO2",IF(R25&lt;&gt;"",R25,S25),0)
+IF($S$5="CO2",IF(T25&lt;&gt;"",T25,U25),0)
+IF($U$5="CO2",IF(V25&lt;&gt;"",V25,W25),0)
+IF($W$5="CO2",IF(X25&lt;&gt;"",X25,Y25),0)
+IF($AM$5="CO2",IF(AN25&lt;&gt;"",AN25,AO25),0)
+IF($AO$5="CO2",IF(AP25&lt;&gt;"",AP25,AQ25),0)
+IF($AQ$5="CO2",IF(AR25&lt;&gt;"",AR25,AS25),0)
+IF($AS$5="CO2",IF(AT25&lt;&gt;"",AT25,AU25),0)</f>
        <v/>
      </c>
      <c r="AY25" s="32">
        <f>SUMPRODUCT(($E$5:$P$5="CO3")*(E25:P25))
+SUMPRODUCT(($AA$5:$AL$5="CO3")*(AA25:AL25))
+IF($Q$5="CO3",IF(Q25&lt;&gt;"",Q25,R25),0)
+IF($S$5="CO3",IF(S25&lt;&gt;"",S25,T25),0)
+IF($U$5="CO3",IF(U25&lt;&gt;"",U25,V25),0)
+IF($W$5="CO3",IF(W25&lt;&gt;"",W25,X25),0)
+IF($AM$5="CO3",IF(AM25&lt;&gt;"",AM25,AN25),0)
+IF($AO$5="CO3",IF(AO25&lt;&gt;"",AO25,AP25),0)
+IF($AQ$5="CO3",IF(AQ25&lt;&gt;"",AQ25,AR25),0)
+IF($AS$5="CO3",IF(AS25&lt;&gt;"",AS25,AT25),0)</f>
        <v/>
      </c>
      <c r="AZ25" s="32">
        <f>SUMPRODUCT(($E$5:$P$5="CO4")*(E25:P25))
+SUMPRODUCT(($AA$5:$AL$5="CO4")*(AA25:AL25))
+IF($Q$5="CO4",IF(Q25&lt;&gt;"",Q25,R25),0)
+IF($S$5="CO4",IF(S25&lt;&gt;"",S25,T25),0)
+IF($U$5="CO4",IF(U25&lt;&gt;"",U25,V25),0)
+IF($W$5="CO4",IF(W25&lt;&gt;"",W25,X25),0)
+IF($AM$5="CO4",IF(AM25&lt;&gt;"",AM25,AN25),0)
+IF($AO$5="CO4",IF(AO25&lt;&gt;"",AO25,AP25),0)
+IF($AQ$5="CO4",IF(AQ25&lt;&gt;"",AQ25,AR25),0)
+IF($AS$5="CO4",IF(AS25&lt;&gt;"",AS25,AT25),0)</f>
        <v/>
      </c>
      <c r="BA25" s="32">
        <f>SUMPRODUCT(($E$5:$P$5="CO5")*(E25:P25))
+SUMPRODUCT(($AA$5:$AL$5="CO5")*(AA25:AL25))
+IF($Q$5="CO5",IF(Q25&lt;&gt;"",Q25,R25),0)
+IF($S$5="CO5",IF(S25&lt;&gt;"",S25,T25),0)
+IF($U$5="CO5",IF(U25&lt;&gt;"",U25,V25),0)
+IF($W$5="CO5",IF(W25&lt;&gt;"",W25,X25),0)
+IF($AM$5="CO5",IF(AM25&lt;&gt;"",AM25,AN25),0)
+IF($AO$5="CO5",IF(AO25&lt;&gt;"",AO25,AP25),0)
+IF($AQ$5="CO5",IF(AQ25&lt;&gt;"",AQ25,AR25),0)
+IF($AS$5="CO5",IF(AS25&lt;&gt;"",AS25,AT25),0)</f>
        <v/>
      </c>
      <c r="BB25" s="32">
        <f>SUMPRODUCT(($E$5:$P$5="CO6")*(E25:P25))
+SUMPRODUCT(($AA$5:$AL$5="CO6")*(AA25:AL25))
+IF($Q$5="CO6",IF(Q25&lt;&gt;"",Q25,R25),0)
+IF($S$5="CO6",IF(S25&lt;&gt;"",S25,T25),0)
+IF($U$5="CO6",IF(U25&lt;&gt;"",U25,V25),0)
+IF($W$5="CO6",IF(W25&lt;&gt;"",W25,X25),0)
+IF($AM$5="CO6",IF(AM25&lt;&gt;"",AM25,AN25),0)
+IF($AO$5="CO6",IF(AO25&lt;&gt;"",AO25,AP25),0)
+IF($AQ$5="CO6",IF(AQ25&lt;&gt;"",AQ25,AR25),0)
+IF($AS$5="CO6",IF(AS25&lt;&gt;"",AS25,AT25),0)</f>
        <v/>
      </c>
      <c r="BD25" s="30" t="n">
        <v>12</v>
      </c>
      <c r="BE25" s="30" t="n">
        <v>14</v>
      </c>
      <c r="BF25" s="30" t="n">
        <v>14</v>
      </c>
      <c r="BG25" s="5" t="n"/>
      <c r="BH25" s="5" t="n"/>
      <c r="BI25" s="5" t="n"/>
      <c r="BJ25" s="25">
        <f>SUM(BD25:BI25)</f>
        <v/>
      </c>
      <c r="BL25" s="5" t="n">
        <v>8</v>
      </c>
      <c r="BM25" s="5" t="n">
        <v>8</v>
      </c>
      <c r="BN25" s="5" t="n">
        <v>12</v>
      </c>
      <c r="BO25" s="5" t="n">
        <v>12</v>
      </c>
      <c r="BP25" s="5" t="n"/>
      <c r="BQ25" s="5" t="n"/>
      <c r="BR25" s="33">
        <f>SUM(BL25:BQ25)</f>
        <v/>
      </c>
      <c r="BT25" s="36">
        <f>SUMPRODUCT(($AW$5:$BQ$5="CO1")*AW25:BQ25)</f>
        <v/>
      </c>
      <c r="BU25" s="37">
        <f>SUMPRODUCT(($AW$5:$BR$5="CO2")*AW25:BR25)</f>
        <v/>
      </c>
      <c r="BV25" s="37">
        <f>SUMPRODUCT(($AW$5:$BR$5="CO3")*AW25:BR25)</f>
        <v/>
      </c>
      <c r="BW25" s="37">
        <f>SUMPRODUCT(($AW$5:$BR$5="CO4")*AW25:BR25)</f>
        <v/>
      </c>
      <c r="BX25" s="37">
        <f>SUMPRODUCT(($AW$5:$BR$5="CO5")*AW25:BR25)</f>
        <v/>
      </c>
      <c r="BY25" s="37">
        <f>SUMPRODUCT(($AW$5:$BR$5="CO6")*AW25:BR25)</f>
        <v/>
      </c>
      <c r="BZ25" s="33">
        <f>SUM(BT25:BY25)</f>
        <v/>
      </c>
      <c r="CB25" s="38">
        <f>BT25/$BT$7*100</f>
        <v/>
      </c>
      <c r="CC25" s="38">
        <f>BU25/$BU$7*100</f>
        <v/>
      </c>
      <c r="CD25" s="38">
        <f>BV25/$BV$7*100</f>
        <v/>
      </c>
      <c r="CE25" s="38">
        <f>BW25/$BW$7*100</f>
        <v/>
      </c>
      <c r="CF25" s="38">
        <f>BX25/$BX$7*100</f>
        <v/>
      </c>
      <c r="CG25" s="38">
        <f>BY25/$BY$7*100</f>
        <v/>
      </c>
    </row>
    <row r="26" ht="15.5" customHeight="1">
      <c r="A26" s="43" t="n">
        <v>19</v>
      </c>
      <c r="B26" s="43" t="inlineStr">
        <is>
          <t>RAGHUL R</t>
        </is>
      </c>
      <c r="C26" s="43" t="inlineStr">
        <is>
          <t>SECTION C</t>
        </is>
      </c>
      <c r="D26" s="4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28">
        <f>SUM(E26:P26)+(IF(Q26&lt;&gt;"",Q26,R26))+(IF(S26&lt;&gt;"",S26,T26))+(IF(U26&lt;&gt;"",U26,V26))+(IF(W26&lt;&gt;"",W26,X26))</f>
        <v/>
      </c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31">
        <f>SUM(AA26:AL26)+(IF(AM26&lt;&gt;"",AM26,AN26))+(IF(AO26&lt;&gt;"",AO26,AP26))+(IF(AQ26&lt;&gt;"",AQ26,AR26))+(IF(AS26&lt;&gt;"",AS26,AT26))</f>
        <v/>
      </c>
      <c r="AW26" s="29">
        <f>SUMPRODUCT(($E$5:$P$5="CO1")*(E26:P26))
+SUMPRODUCT(($AA$5:$AL$5="CO1")*(AA26:AL26))
+IF($Q$5="CO1",IF(Q26&lt;&gt;"",Q26,R26),0)
+IF($S$5="CO1",IF(S26&lt;&gt;"",S26,T26),0)
+IF($U$5="CO1",IF(U26&lt;&gt;"",U26,V26),0)
+IF($W$5="CO1",IF(W26&lt;&gt;"",W26,X26),0)
+IF($AM$5="CO1",IF(AM26&lt;&gt;"",AM26,AN26),0)
+IF($AO$5="CO1",IF(AO26&lt;&gt;"",AO26,AP26),0)
+IF($AQ$5="CO1",IF(AQ26&lt;&gt;"",AQ26,AR26),0)
+IF($AS$5="CO1",IF(AS26&lt;&gt;"",AS26,AT26),0)</f>
        <v/>
      </c>
      <c r="AX26" s="29">
        <f>SUMPRODUCT(($E$5:$P$5="CO2")*(E26:P26))
+SUMPRODUCT(($AA$5:$AL$5="CO2")*(AA26:AL26))
+IF($Q$5="CO2",IF(R26&lt;&gt;"",R26,S26),0)
+IF($S$5="CO2",IF(T26&lt;&gt;"",T26,U26),0)
+IF($U$5="CO2",IF(V26&lt;&gt;"",V26,W26),0)
+IF($W$5="CO2",IF(X26&lt;&gt;"",X26,Y26),0)
+IF($AM$5="CO2",IF(AN26&lt;&gt;"",AN26,AO26),0)
+IF($AO$5="CO2",IF(AP26&lt;&gt;"",AP26,AQ26),0)
+IF($AQ$5="CO2",IF(AR26&lt;&gt;"",AR26,AS26),0)
+IF($AS$5="CO2",IF(AT26&lt;&gt;"",AT26,AU26),0)</f>
        <v/>
      </c>
      <c r="AY26" s="29">
        <f>SUMPRODUCT(($E$5:$P$5="CO3")*(E26:P26))
+SUMPRODUCT(($AA$5:$AL$5="CO3")*(AA26:AL26))
+IF($Q$5="CO3",IF(Q26&lt;&gt;"",Q26,R26),0)
+IF($S$5="CO3",IF(S26&lt;&gt;"",S26,T26),0)
+IF($U$5="CO3",IF(U26&lt;&gt;"",U26,V26),0)
+IF($W$5="CO3",IF(W26&lt;&gt;"",W26,X26),0)
+IF($AM$5="CO3",IF(AM26&lt;&gt;"",AM26,AN26),0)
+IF($AO$5="CO3",IF(AO26&lt;&gt;"",AO26,AP26),0)
+IF($AQ$5="CO3",IF(AQ26&lt;&gt;"",AQ26,AR26),0)
+IF($AS$5="CO3",IF(AS26&lt;&gt;"",AS26,AT26),0)</f>
        <v/>
      </c>
      <c r="AZ26" s="29">
        <f>SUMPRODUCT(($E$5:$P$5="CO4")*(E26:P26))
+SUMPRODUCT(($AA$5:$AL$5="CO4")*(AA26:AL26))
+IF($Q$5="CO4",IF(Q26&lt;&gt;"",Q26,R26),0)
+IF($S$5="CO4",IF(S26&lt;&gt;"",S26,T26),0)
+IF($U$5="CO4",IF(U26&lt;&gt;"",U26,V26),0)
+IF($W$5="CO4",IF(W26&lt;&gt;"",W26,X26),0)
+IF($AM$5="CO4",IF(AM26&lt;&gt;"",AM26,AN26),0)
+IF($AO$5="CO4",IF(AO26&lt;&gt;"",AO26,AP26),0)
+IF($AQ$5="CO4",IF(AQ26&lt;&gt;"",AQ26,AR26),0)
+IF($AS$5="CO4",IF(AS26&lt;&gt;"",AS26,AT26),0)</f>
        <v/>
      </c>
      <c r="BA26" s="32">
        <f>SUMPRODUCT(($E$5:$P$5="CO5")*(E26:P26))
+SUMPRODUCT(($AA$5:$AL$5="CO5")*(AA26:AL26))
+IF($Q$5="CO5",IF(Q26&lt;&gt;"",Q26,R26),0)
+IF($S$5="CO5",IF(S26&lt;&gt;"",S26,T26),0)
+IF($U$5="CO5",IF(U26&lt;&gt;"",U26,V26),0)
+IF($W$5="CO5",IF(W26&lt;&gt;"",W26,X26),0)
+IF($AM$5="CO5",IF(AM26&lt;&gt;"",AM26,AN26),0)
+IF($AO$5="CO5",IF(AO26&lt;&gt;"",AO26,AP26),0)
+IF($AQ$5="CO5",IF(AQ26&lt;&gt;"",AQ26,AR26),0)
+IF($AS$5="CO5",IF(AS26&lt;&gt;"",AS26,AT26),0)</f>
        <v/>
      </c>
      <c r="BB26" s="32">
        <f>SUMPRODUCT(($E$5:$P$5="CO6")*(E26:P26))
+SUMPRODUCT(($AA$5:$AL$5="CO6")*(AA26:AL26))
+IF($Q$5="CO6",IF(Q26&lt;&gt;"",Q26,R26),0)
+IF($S$5="CO6",IF(S26&lt;&gt;"",S26,T26),0)
+IF($U$5="CO6",IF(U26&lt;&gt;"",U26,V26),0)
+IF($W$5="CO6",IF(W26&lt;&gt;"",W26,X26),0)
+IF($AM$5="CO6",IF(AM26&lt;&gt;"",AM26,AN26),0)
+IF($AO$5="CO6",IF(AO26&lt;&gt;"",AO26,AP26),0)
+IF($AQ$5="CO6",IF(AQ26&lt;&gt;"",AQ26,AR26),0)
+IF($AS$5="CO6",IF(AS26&lt;&gt;"",AS26,AT26),0)</f>
        <v/>
      </c>
      <c r="BD26" s="30" t="n">
        <v>12</v>
      </c>
      <c r="BE26" s="30" t="n">
        <v>14</v>
      </c>
      <c r="BF26" s="30" t="n">
        <v>14</v>
      </c>
      <c r="BG26" s="5" t="n"/>
      <c r="BH26" s="5" t="n"/>
      <c r="BI26" s="5" t="n"/>
      <c r="BJ26" s="25">
        <f>SUM(BD26:BI26)</f>
        <v/>
      </c>
      <c r="BL26" s="5" t="n">
        <v>8</v>
      </c>
      <c r="BM26" s="5" t="n">
        <v>8</v>
      </c>
      <c r="BN26" s="5" t="n">
        <v>12</v>
      </c>
      <c r="BO26" s="5" t="n">
        <v>12</v>
      </c>
      <c r="BP26" s="5" t="n"/>
      <c r="BQ26" s="5" t="n"/>
      <c r="BR26" s="33">
        <f>SUM(BL26:BQ26)</f>
        <v/>
      </c>
      <c r="BT26" s="36">
        <f>SUMPRODUCT(($AW$5:$BQ$5="CO1")*AW26:BQ26)</f>
        <v/>
      </c>
      <c r="BU26" s="37">
        <f>SUMPRODUCT(($AW$5:$BR$5="CO2")*AW26:BR26)</f>
        <v/>
      </c>
      <c r="BV26" s="37">
        <f>SUMPRODUCT(($AW$5:$BR$5="CO3")*AW26:BR26)</f>
        <v/>
      </c>
      <c r="BW26" s="37">
        <f>SUMPRODUCT(($AW$5:$BR$5="CO4")*AW26:BR26)</f>
        <v/>
      </c>
      <c r="BX26" s="37">
        <f>SUMPRODUCT(($AW$5:$BR$5="CO5")*AW26:BR26)</f>
        <v/>
      </c>
      <c r="BY26" s="37">
        <f>SUMPRODUCT(($AW$5:$BR$5="CO6")*AW26:BR26)</f>
        <v/>
      </c>
      <c r="BZ26" s="33">
        <f>SUM(BT26:BY26)</f>
        <v/>
      </c>
      <c r="CB26" s="38">
        <f>BT26/$BT$7*100</f>
        <v/>
      </c>
      <c r="CC26" s="38">
        <f>BU26/$BU$7*100</f>
        <v/>
      </c>
      <c r="CD26" s="38">
        <f>BV26/$BV$7*100</f>
        <v/>
      </c>
      <c r="CE26" s="38">
        <f>BW26/$BW$7*100</f>
        <v/>
      </c>
      <c r="CF26" s="38">
        <f>BX26/$BX$7*100</f>
        <v/>
      </c>
      <c r="CG26" s="38">
        <f>BY26/$BY$7*100</f>
        <v/>
      </c>
    </row>
    <row r="27" ht="15.5" customHeight="1">
      <c r="A27" s="43" t="n">
        <v>20</v>
      </c>
      <c r="B27" s="43" t="inlineStr">
        <is>
          <t>RAJESH KUMAR A</t>
        </is>
      </c>
      <c r="C27" s="43" t="inlineStr">
        <is>
          <t>SECTION C</t>
        </is>
      </c>
      <c r="D27" s="4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28">
        <f>SUM(E27:P27)+(IF(Q27&lt;&gt;"",Q27,R27))+(IF(S27&lt;&gt;"",S27,T27))+(IF(U27&lt;&gt;"",U27,V27))+(IF(W27&lt;&gt;"",W27,X27))</f>
        <v/>
      </c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31">
        <f>SUM(AA27:AL27)+(IF(AM27&lt;&gt;"",AM27,AN27))+(IF(AO27&lt;&gt;"",AO27,AP27))+(IF(AQ27&lt;&gt;"",AQ27,AR27))+(IF(AS27&lt;&gt;"",AS27,AT27))</f>
        <v/>
      </c>
      <c r="AW27" s="29">
        <f>SUMPRODUCT(($E$5:$P$5="CO1")*(E27:P27))
+SUMPRODUCT(($AA$5:$AL$5="CO1")*(AA27:AL27))
+IF($Q$5="CO1",IF(Q27&lt;&gt;"",Q27,R27),0)
+IF($S$5="CO1",IF(S27&lt;&gt;"",S27,T27),0)
+IF($U$5="CO1",IF(U27&lt;&gt;"",U27,V27),0)
+IF($W$5="CO1",IF(W27&lt;&gt;"",W27,X27),0)
+IF($AM$5="CO1",IF(AM27&lt;&gt;"",AM27,AN27),0)
+IF($AO$5="CO1",IF(AO27&lt;&gt;"",AO27,AP27),0)
+IF($AQ$5="CO1",IF(AQ27&lt;&gt;"",AQ27,AR27),0)
+IF($AS$5="CO1",IF(AS27&lt;&gt;"",AS27,AT27),0)</f>
        <v/>
      </c>
      <c r="AX27" s="29">
        <f>SUMPRODUCT(($E$5:$P$5="CO2")*(E27:P27))
+SUMPRODUCT(($AA$5:$AL$5="CO2")*(AA27:AL27))
+IF($Q$5="CO2",IF(R27&lt;&gt;"",R27,S27),0)
+IF($S$5="CO2",IF(T27&lt;&gt;"",T27,U27),0)
+IF($U$5="CO2",IF(V27&lt;&gt;"",V27,W27),0)
+IF($W$5="CO2",IF(X27&lt;&gt;"",X27,Y27),0)
+IF($AM$5="CO2",IF(AN27&lt;&gt;"",AN27,AO27),0)
+IF($AO$5="CO2",IF(AP27&lt;&gt;"",AP27,AQ27),0)
+IF($AQ$5="CO2",IF(AR27&lt;&gt;"",AR27,AS27),0)
+IF($AS$5="CO2",IF(AT27&lt;&gt;"",AT27,AU27),0)</f>
        <v/>
      </c>
      <c r="AY27" s="29">
        <f>SUMPRODUCT(($E$5:$P$5="CO3")*(E27:P27))
+SUMPRODUCT(($AA$5:$AL$5="CO3")*(AA27:AL27))
+IF($Q$5="CO3",IF(Q27&lt;&gt;"",Q27,R27),0)
+IF($S$5="CO3",IF(S27&lt;&gt;"",S27,T27),0)
+IF($U$5="CO3",IF(U27&lt;&gt;"",U27,V27),0)
+IF($W$5="CO3",IF(W27&lt;&gt;"",W27,X27),0)
+IF($AM$5="CO3",IF(AM27&lt;&gt;"",AM27,AN27),0)
+IF($AO$5="CO3",IF(AO27&lt;&gt;"",AO27,AP27),0)
+IF($AQ$5="CO3",IF(AQ27&lt;&gt;"",AQ27,AR27),0)
+IF($AS$5="CO3",IF(AS27&lt;&gt;"",AS27,AT27),0)</f>
        <v/>
      </c>
      <c r="AZ27" s="29">
        <f>SUMPRODUCT(($E$5:$P$5="CO4")*(E27:P27))
+SUMPRODUCT(($AA$5:$AL$5="CO4")*(AA27:AL27))
+IF($Q$5="CO4",IF(Q27&lt;&gt;"",Q27,R27),0)
+IF($S$5="CO4",IF(S27&lt;&gt;"",S27,T27),0)
+IF($U$5="CO4",IF(U27&lt;&gt;"",U27,V27),0)
+IF($W$5="CO4",IF(W27&lt;&gt;"",W27,X27),0)
+IF($AM$5="CO4",IF(AM27&lt;&gt;"",AM27,AN27),0)
+IF($AO$5="CO4",IF(AO27&lt;&gt;"",AO27,AP27),0)
+IF($AQ$5="CO4",IF(AQ27&lt;&gt;"",AQ27,AR27),0)
+IF($AS$5="CO4",IF(AS27&lt;&gt;"",AS27,AT27),0)</f>
        <v/>
      </c>
      <c r="BA27" s="32">
        <f>SUMPRODUCT(($E$5:$P$5="CO5")*(E27:P27))
+SUMPRODUCT(($AA$5:$AL$5="CO5")*(AA27:AL27))
+IF($Q$5="CO5",IF(Q27&lt;&gt;"",Q27,R27),0)
+IF($S$5="CO5",IF(S27&lt;&gt;"",S27,T27),0)
+IF($U$5="CO5",IF(U27&lt;&gt;"",U27,V27),0)
+IF($W$5="CO5",IF(W27&lt;&gt;"",W27,X27),0)
+IF($AM$5="CO5",IF(AM27&lt;&gt;"",AM27,AN27),0)
+IF($AO$5="CO5",IF(AO27&lt;&gt;"",AO27,AP27),0)
+IF($AQ$5="CO5",IF(AQ27&lt;&gt;"",AQ27,AR27),0)
+IF($AS$5="CO5",IF(AS27&lt;&gt;"",AS27,AT27),0)</f>
        <v/>
      </c>
      <c r="BB27" s="32">
        <f>SUMPRODUCT(($E$5:$P$5="CO6")*(E27:P27))
+SUMPRODUCT(($AA$5:$AL$5="CO6")*(AA27:AL27))
+IF($Q$5="CO6",IF(Q27&lt;&gt;"",Q27,R27),0)
+IF($S$5="CO6",IF(S27&lt;&gt;"",S27,T27),0)
+IF($U$5="CO6",IF(U27&lt;&gt;"",U27,V27),0)
+IF($W$5="CO6",IF(W27&lt;&gt;"",W27,X27),0)
+IF($AM$5="CO6",IF(AM27&lt;&gt;"",AM27,AN27),0)
+IF($AO$5="CO6",IF(AO27&lt;&gt;"",AO27,AP27),0)
+IF($AQ$5="CO6",IF(AQ27&lt;&gt;"",AQ27,AR27),0)
+IF($AS$5="CO6",IF(AS27&lt;&gt;"",AS27,AT27),0)</f>
        <v/>
      </c>
      <c r="BD27" s="30" t="n">
        <v>12</v>
      </c>
      <c r="BE27" s="30" t="n">
        <v>14</v>
      </c>
      <c r="BF27" s="30" t="n">
        <v>14</v>
      </c>
      <c r="BG27" s="5" t="n"/>
      <c r="BH27" s="5" t="n"/>
      <c r="BI27" s="5" t="n"/>
      <c r="BJ27" s="25">
        <f>SUM(BD27:BI27)</f>
        <v/>
      </c>
      <c r="BL27" s="5" t="n">
        <v>8</v>
      </c>
      <c r="BM27" s="5" t="n">
        <v>8</v>
      </c>
      <c r="BN27" s="5" t="n">
        <v>12</v>
      </c>
      <c r="BO27" s="5" t="n">
        <v>12</v>
      </c>
      <c r="BP27" s="5" t="n"/>
      <c r="BQ27" s="5" t="n"/>
      <c r="BR27" s="33">
        <f>SUM(BL27:BQ27)</f>
        <v/>
      </c>
      <c r="BT27" s="36">
        <f>SUMPRODUCT(($AW$5:$BQ$5="CO1")*AW27:BQ27)</f>
        <v/>
      </c>
      <c r="BU27" s="37">
        <f>SUMPRODUCT(($AW$5:$BR$5="CO2")*AW27:BR27)</f>
        <v/>
      </c>
      <c r="BV27" s="37">
        <f>SUMPRODUCT(($AW$5:$BR$5="CO3")*AW27:BR27)</f>
        <v/>
      </c>
      <c r="BW27" s="37">
        <f>SUMPRODUCT(($AW$5:$BR$5="CO4")*AW27:BR27)</f>
        <v/>
      </c>
      <c r="BX27" s="37">
        <f>SUMPRODUCT(($AW$5:$BR$5="CO5")*AW27:BR27)</f>
        <v/>
      </c>
      <c r="BY27" s="37">
        <f>SUMPRODUCT(($AW$5:$BR$5="CO6")*AW27:BR27)</f>
        <v/>
      </c>
      <c r="BZ27" s="33">
        <f>SUM(BT27:BY27)</f>
        <v/>
      </c>
      <c r="CB27" s="38">
        <f>BT27/$BT$7*100</f>
        <v/>
      </c>
      <c r="CC27" s="38">
        <f>BU27/$BU$7*100</f>
        <v/>
      </c>
      <c r="CD27" s="38">
        <f>BV27/$BV$7*100</f>
        <v/>
      </c>
      <c r="CE27" s="38">
        <f>BW27/$BW$7*100</f>
        <v/>
      </c>
      <c r="CF27" s="38">
        <f>BX27/$BX$7*100</f>
        <v/>
      </c>
      <c r="CG27" s="38">
        <f>BY27/$BY$7*100</f>
        <v/>
      </c>
    </row>
    <row r="28" ht="15.5" customHeight="1">
      <c r="A28" s="43" t="n">
        <v>21</v>
      </c>
      <c r="B28" s="43" t="inlineStr">
        <is>
          <t>RAVIPRAKASH C</t>
        </is>
      </c>
      <c r="C28" s="43" t="inlineStr">
        <is>
          <t>SECTION C</t>
        </is>
      </c>
      <c r="D28" s="4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28">
        <f>SUM(E28:P28)+(IF(Q28&lt;&gt;"",Q28,R28))+(IF(S28&lt;&gt;"",S28,T28))+(IF(U28&lt;&gt;"",U28,V28))+(IF(W28&lt;&gt;"",W28,X28))</f>
        <v/>
      </c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31">
        <f>SUM(AA28:AL28)+(IF(AM28&lt;&gt;"",AM28,AN28))+(IF(AO28&lt;&gt;"",AO28,AP28))+(IF(AQ28&lt;&gt;"",AQ28,AR28))+(IF(AS28&lt;&gt;"",AS28,AT28))</f>
        <v/>
      </c>
      <c r="AW28" s="29">
        <f>SUMPRODUCT(($E$5:$P$5="CO1")*(E28:P28))
+SUMPRODUCT(($AA$5:$AL$5="CO1")*(AA28:AL28))
+IF($Q$5="CO1",IF(Q28&lt;&gt;"",Q28,R28),0)
+IF($S$5="CO1",IF(S28&lt;&gt;"",S28,T28),0)
+IF($U$5="CO1",IF(U28&lt;&gt;"",U28,V28),0)
+IF($W$5="CO1",IF(W28&lt;&gt;"",W28,X28),0)
+IF($AM$5="CO1",IF(AM28&lt;&gt;"",AM28,AN28),0)
+IF($AO$5="CO1",IF(AO28&lt;&gt;"",AO28,AP28),0)
+IF($AQ$5="CO1",IF(AQ28&lt;&gt;"",AQ28,AR28),0)
+IF($AS$5="CO1",IF(AS28&lt;&gt;"",AS28,AT28),0)</f>
        <v/>
      </c>
      <c r="AX28" s="29">
        <f>SUMPRODUCT(($E$5:$P$5="CO2")*(E28:P28))
+SUMPRODUCT(($AA$5:$AL$5="CO2")*(AA28:AL28))
+IF($Q$5="CO2",IF(R28&lt;&gt;"",R28,S28),0)
+IF($S$5="CO2",IF(T28&lt;&gt;"",T28,U28),0)
+IF($U$5="CO2",IF(V28&lt;&gt;"",V28,W28),0)
+IF($W$5="CO2",IF(X28&lt;&gt;"",X28,Y28),0)
+IF($AM$5="CO2",IF(AN28&lt;&gt;"",AN28,AO28),0)
+IF($AO$5="CO2",IF(AP28&lt;&gt;"",AP28,AQ28),0)
+IF($AQ$5="CO2",IF(AR28&lt;&gt;"",AR28,AS28),0)
+IF($AS$5="CO2",IF(AT28&lt;&gt;"",AT28,AU28),0)</f>
        <v/>
      </c>
      <c r="AY28" s="29">
        <f>SUMPRODUCT(($E$5:$P$5="CO3")*(E28:P28))
+SUMPRODUCT(($AA$5:$AL$5="CO3")*(AA28:AL28))
+IF($Q$5="CO3",IF(Q28&lt;&gt;"",Q28,R28),0)
+IF($S$5="CO3",IF(S28&lt;&gt;"",S28,T28),0)
+IF($U$5="CO3",IF(U28&lt;&gt;"",U28,V28),0)
+IF($W$5="CO3",IF(W28&lt;&gt;"",W28,X28),0)
+IF($AM$5="CO3",IF(AM28&lt;&gt;"",AM28,AN28),0)
+IF($AO$5="CO3",IF(AO28&lt;&gt;"",AO28,AP28),0)
+IF($AQ$5="CO3",IF(AQ28&lt;&gt;"",AQ28,AR28),0)
+IF($AS$5="CO3",IF(AS28&lt;&gt;"",AS28,AT28),0)</f>
        <v/>
      </c>
      <c r="AZ28" s="29">
        <f>SUMPRODUCT(($E$5:$P$5="CO4")*(E28:P28))
+SUMPRODUCT(($AA$5:$AL$5="CO4")*(AA28:AL28))
+IF($Q$5="CO4",IF(Q28&lt;&gt;"",Q28,R28),0)
+IF($S$5="CO4",IF(S28&lt;&gt;"",S28,T28),0)
+IF($U$5="CO4",IF(U28&lt;&gt;"",U28,V28),0)
+IF($W$5="CO4",IF(W28&lt;&gt;"",W28,X28),0)
+IF($AM$5="CO4",IF(AM28&lt;&gt;"",AM28,AN28),0)
+IF($AO$5="CO4",IF(AO28&lt;&gt;"",AO28,AP28),0)
+IF($AQ$5="CO4",IF(AQ28&lt;&gt;"",AQ28,AR28),0)
+IF($AS$5="CO4",IF(AS28&lt;&gt;"",AS28,AT28),0)</f>
        <v/>
      </c>
      <c r="BA28" s="32">
        <f>SUMPRODUCT(($E$5:$P$5="CO5")*(E28:P28))
+SUMPRODUCT(($AA$5:$AL$5="CO5")*(AA28:AL28))
+IF($Q$5="CO5",IF(Q28&lt;&gt;"",Q28,R28),0)
+IF($S$5="CO5",IF(S28&lt;&gt;"",S28,T28),0)
+IF($U$5="CO5",IF(U28&lt;&gt;"",U28,V28),0)
+IF($W$5="CO5",IF(W28&lt;&gt;"",W28,X28),0)
+IF($AM$5="CO5",IF(AM28&lt;&gt;"",AM28,AN28),0)
+IF($AO$5="CO5",IF(AO28&lt;&gt;"",AO28,AP28),0)
+IF($AQ$5="CO5",IF(AQ28&lt;&gt;"",AQ28,AR28),0)
+IF($AS$5="CO5",IF(AS28&lt;&gt;"",AS28,AT28),0)</f>
        <v/>
      </c>
      <c r="BB28" s="32">
        <f>SUMPRODUCT(($E$5:$P$5="CO6")*(E28:P28))
+SUMPRODUCT(($AA$5:$AL$5="CO6")*(AA28:AL28))
+IF($Q$5="CO6",IF(Q28&lt;&gt;"",Q28,R28),0)
+IF($S$5="CO6",IF(S28&lt;&gt;"",S28,T28),0)
+IF($U$5="CO6",IF(U28&lt;&gt;"",U28,V28),0)
+IF($W$5="CO6",IF(W28&lt;&gt;"",W28,X28),0)
+IF($AM$5="CO6",IF(AM28&lt;&gt;"",AM28,AN28),0)
+IF($AO$5="CO6",IF(AO28&lt;&gt;"",AO28,AP28),0)
+IF($AQ$5="CO6",IF(AQ28&lt;&gt;"",AQ28,AR28),0)
+IF($AS$5="CO6",IF(AS28&lt;&gt;"",AS28,AT28),0)</f>
        <v/>
      </c>
      <c r="BD28" s="30" t="n">
        <v>12</v>
      </c>
      <c r="BE28" s="30" t="n">
        <v>14</v>
      </c>
      <c r="BF28" s="30" t="n">
        <v>14</v>
      </c>
      <c r="BG28" s="5" t="n"/>
      <c r="BH28" s="5" t="n"/>
      <c r="BI28" s="5" t="n"/>
      <c r="BJ28" s="25">
        <f>SUM(BD28:BI28)</f>
        <v/>
      </c>
      <c r="BL28" s="5" t="n">
        <v>8</v>
      </c>
      <c r="BM28" s="5" t="n">
        <v>8</v>
      </c>
      <c r="BN28" s="5" t="n">
        <v>12</v>
      </c>
      <c r="BO28" s="5" t="n">
        <v>12</v>
      </c>
      <c r="BP28" s="5" t="n"/>
      <c r="BQ28" s="5" t="n"/>
      <c r="BR28" s="33">
        <f>SUM(BL28:BQ28)</f>
        <v/>
      </c>
      <c r="BT28" s="36">
        <f>SUMPRODUCT(($AW$5:$BQ$5="CO1")*AW28:BQ28)</f>
        <v/>
      </c>
      <c r="BU28" s="37">
        <f>SUMPRODUCT(($AW$5:$BR$5="CO2")*AW28:BR28)</f>
        <v/>
      </c>
      <c r="BV28" s="37">
        <f>SUMPRODUCT(($AW$5:$BR$5="CO3")*AW28:BR28)</f>
        <v/>
      </c>
      <c r="BW28" s="37">
        <f>SUMPRODUCT(($AW$5:$BR$5="CO4")*AW28:BR28)</f>
        <v/>
      </c>
      <c r="BX28" s="37">
        <f>SUMPRODUCT(($AW$5:$BR$5="CO5")*AW28:BR28)</f>
        <v/>
      </c>
      <c r="BY28" s="37">
        <f>SUMPRODUCT(($AW$5:$BR$5="CO6")*AW28:BR28)</f>
        <v/>
      </c>
      <c r="BZ28" s="33">
        <f>SUM(BT28:BY28)</f>
        <v/>
      </c>
      <c r="CB28" s="38">
        <f>BT28/$BT$7*100</f>
        <v/>
      </c>
      <c r="CC28" s="38">
        <f>BU28/$BU$7*100</f>
        <v/>
      </c>
      <c r="CD28" s="38">
        <f>BV28/$BV$7*100</f>
        <v/>
      </c>
      <c r="CE28" s="38">
        <f>BW28/$BW$7*100</f>
        <v/>
      </c>
      <c r="CF28" s="38">
        <f>BX28/$BX$7*100</f>
        <v/>
      </c>
      <c r="CG28" s="38">
        <f>BY28/$BY$7*100</f>
        <v/>
      </c>
    </row>
    <row r="29" ht="15.5" customHeight="1">
      <c r="A29" s="43" t="n">
        <v>22</v>
      </c>
      <c r="B29" s="43" t="inlineStr">
        <is>
          <t>SHIVA RAJ GANESH N S</t>
        </is>
      </c>
      <c r="C29" s="43" t="inlineStr">
        <is>
          <t>SECTION C</t>
        </is>
      </c>
      <c r="D29" s="4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28">
        <f>SUM(E29:P29)+(IF(Q29&lt;&gt;"",Q29,R29))+(IF(S29&lt;&gt;"",S29,T29))+(IF(U29&lt;&gt;"",U29,V29))+(IF(W29&lt;&gt;"",W29,X29))</f>
        <v/>
      </c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31">
        <f>SUM(AA29:AL29)+(IF(AM29&lt;&gt;"",AM29,AN29))+(IF(AO29&lt;&gt;"",AO29,AP29))+(IF(AQ29&lt;&gt;"",AQ29,AR29))+(IF(AS29&lt;&gt;"",AS29,AT29))</f>
        <v/>
      </c>
      <c r="AW29" s="29">
        <f>SUMPRODUCT(($E$5:$P$5="CO1")*(E29:P29))
+SUMPRODUCT(($AA$5:$AL$5="CO1")*(AA29:AL29))
+IF($Q$5="CO1",IF(Q29&lt;&gt;"",Q29,R29),0)
+IF($S$5="CO1",IF(S29&lt;&gt;"",S29,T29),0)
+IF($U$5="CO1",IF(U29&lt;&gt;"",U29,V29),0)
+IF($W$5="CO1",IF(W29&lt;&gt;"",W29,X29),0)
+IF($AM$5="CO1",IF(AM29&lt;&gt;"",AM29,AN29),0)
+IF($AO$5="CO1",IF(AO29&lt;&gt;"",AO29,AP29),0)
+IF($AQ$5="CO1",IF(AQ29&lt;&gt;"",AQ29,AR29),0)
+IF($AS$5="CO1",IF(AS29&lt;&gt;"",AS29,AT29),0)</f>
        <v/>
      </c>
      <c r="AX29" s="29">
        <f>SUMPRODUCT(($E$5:$P$5="CO2")*(E29:P29))
+SUMPRODUCT(($AA$5:$AL$5="CO2")*(AA29:AL29))
+IF($Q$5="CO2",IF(R29&lt;&gt;"",R29,S29),0)
+IF($S$5="CO2",IF(T29&lt;&gt;"",T29,U29),0)
+IF($U$5="CO2",IF(V29&lt;&gt;"",V29,W29),0)
+IF($W$5="CO2",IF(X29&lt;&gt;"",X29,Y29),0)
+IF($AM$5="CO2",IF(AN29&lt;&gt;"",AN29,AO29),0)
+IF($AO$5="CO2",IF(AP29&lt;&gt;"",AP29,AQ29),0)
+IF($AQ$5="CO2",IF(AR29&lt;&gt;"",AR29,AS29),0)
+IF($AS$5="CO2",IF(AT29&lt;&gt;"",AT29,AU29),0)</f>
        <v/>
      </c>
      <c r="AY29" s="29">
        <f>SUMPRODUCT(($E$5:$P$5="CO3")*(E29:P29))
+SUMPRODUCT(($AA$5:$AL$5="CO3")*(AA29:AL29))
+IF($Q$5="CO3",IF(Q29&lt;&gt;"",Q29,R29),0)
+IF($S$5="CO3",IF(S29&lt;&gt;"",S29,T29),0)
+IF($U$5="CO3",IF(U29&lt;&gt;"",U29,V29),0)
+IF($W$5="CO3",IF(W29&lt;&gt;"",W29,X29),0)
+IF($AM$5="CO3",IF(AM29&lt;&gt;"",AM29,AN29),0)
+IF($AO$5="CO3",IF(AO29&lt;&gt;"",AO29,AP29),0)
+IF($AQ$5="CO3",IF(AQ29&lt;&gt;"",AQ29,AR29),0)
+IF($AS$5="CO3",IF(AS29&lt;&gt;"",AS29,AT29),0)</f>
        <v/>
      </c>
      <c r="AZ29" s="29">
        <f>SUMPRODUCT(($E$5:$P$5="CO4")*(E29:P29))
+SUMPRODUCT(($AA$5:$AL$5="CO4")*(AA29:AL29))
+IF($Q$5="CO4",IF(Q29&lt;&gt;"",Q29,R29),0)
+IF($S$5="CO4",IF(S29&lt;&gt;"",S29,T29),0)
+IF($U$5="CO4",IF(U29&lt;&gt;"",U29,V29),0)
+IF($W$5="CO4",IF(W29&lt;&gt;"",W29,X29),0)
+IF($AM$5="CO4",IF(AM29&lt;&gt;"",AM29,AN29),0)
+IF($AO$5="CO4",IF(AO29&lt;&gt;"",AO29,AP29),0)
+IF($AQ$5="CO4",IF(AQ29&lt;&gt;"",AQ29,AR29),0)
+IF($AS$5="CO4",IF(AS29&lt;&gt;"",AS29,AT29),0)</f>
        <v/>
      </c>
      <c r="BA29" s="32">
        <f>SUMPRODUCT(($E$5:$P$5="CO5")*(E29:P29))
+SUMPRODUCT(($AA$5:$AL$5="CO5")*(AA29:AL29))
+IF($Q$5="CO5",IF(Q29&lt;&gt;"",Q29,R29),0)
+IF($S$5="CO5",IF(S29&lt;&gt;"",S29,T29),0)
+IF($U$5="CO5",IF(U29&lt;&gt;"",U29,V29),0)
+IF($W$5="CO5",IF(W29&lt;&gt;"",W29,X29),0)
+IF($AM$5="CO5",IF(AM29&lt;&gt;"",AM29,AN29),0)
+IF($AO$5="CO5",IF(AO29&lt;&gt;"",AO29,AP29),0)
+IF($AQ$5="CO5",IF(AQ29&lt;&gt;"",AQ29,AR29),0)
+IF($AS$5="CO5",IF(AS29&lt;&gt;"",AS29,AT29),0)</f>
        <v/>
      </c>
      <c r="BB29" s="32">
        <f>SUMPRODUCT(($E$5:$P$5="CO6")*(E29:P29))
+SUMPRODUCT(($AA$5:$AL$5="CO6")*(AA29:AL29))
+IF($Q$5="CO6",IF(Q29&lt;&gt;"",Q29,R29),0)
+IF($S$5="CO6",IF(S29&lt;&gt;"",S29,T29),0)
+IF($U$5="CO6",IF(U29&lt;&gt;"",U29,V29),0)
+IF($W$5="CO6",IF(W29&lt;&gt;"",W29,X29),0)
+IF($AM$5="CO6",IF(AM29&lt;&gt;"",AM29,AN29),0)
+IF($AO$5="CO6",IF(AO29&lt;&gt;"",AO29,AP29),0)
+IF($AQ$5="CO6",IF(AQ29&lt;&gt;"",AQ29,AR29),0)
+IF($AS$5="CO6",IF(AS29&lt;&gt;"",AS29,AT29),0)</f>
        <v/>
      </c>
      <c r="BD29" s="30" t="n">
        <v>12</v>
      </c>
      <c r="BE29" s="30" t="n">
        <v>14</v>
      </c>
      <c r="BF29" s="30" t="n">
        <v>14</v>
      </c>
      <c r="BG29" s="5" t="n"/>
      <c r="BH29" s="5" t="n"/>
      <c r="BI29" s="5" t="n"/>
      <c r="BJ29" s="25">
        <f>SUM(BD29:BI29)</f>
        <v/>
      </c>
      <c r="BL29" s="5" t="n">
        <v>8</v>
      </c>
      <c r="BM29" s="5" t="n">
        <v>8</v>
      </c>
      <c r="BN29" s="5" t="n">
        <v>12</v>
      </c>
      <c r="BO29" s="5" t="n">
        <v>12</v>
      </c>
      <c r="BP29" s="5" t="n"/>
      <c r="BQ29" s="5" t="n"/>
      <c r="BR29" s="33">
        <f>SUM(BL29:BQ29)</f>
        <v/>
      </c>
      <c r="BT29" s="36">
        <f>SUMPRODUCT(($AW$5:$BQ$5="CO1")*AW29:BQ29)</f>
        <v/>
      </c>
      <c r="BU29" s="37">
        <f>SUMPRODUCT(($AW$5:$BR$5="CO2")*AW29:BR29)</f>
        <v/>
      </c>
      <c r="BV29" s="37">
        <f>SUMPRODUCT(($AW$5:$BR$5="CO3")*AW29:BR29)</f>
        <v/>
      </c>
      <c r="BW29" s="37">
        <f>SUMPRODUCT(($AW$5:$BR$5="CO4")*AW29:BR29)</f>
        <v/>
      </c>
      <c r="BX29" s="37">
        <f>SUMPRODUCT(($AW$5:$BR$5="CO5")*AW29:BR29)</f>
        <v/>
      </c>
      <c r="BY29" s="37">
        <f>SUMPRODUCT(($AW$5:$BR$5="CO6")*AW29:BR29)</f>
        <v/>
      </c>
      <c r="BZ29" s="33">
        <f>SUM(BT29:BY29)</f>
        <v/>
      </c>
      <c r="CB29" s="38">
        <f>BT29/$BT$7*100</f>
        <v/>
      </c>
      <c r="CC29" s="38">
        <f>BU29/$BU$7*100</f>
        <v/>
      </c>
      <c r="CD29" s="38">
        <f>BV29/$BV$7*100</f>
        <v/>
      </c>
      <c r="CE29" s="38">
        <f>BW29/$BW$7*100</f>
        <v/>
      </c>
      <c r="CF29" s="38">
        <f>BX29/$BX$7*100</f>
        <v/>
      </c>
      <c r="CG29" s="38">
        <f>BY29/$BY$7*100</f>
        <v/>
      </c>
    </row>
    <row r="30" ht="15.5" customHeight="1">
      <c r="A30" s="43" t="n">
        <v>23</v>
      </c>
      <c r="B30" s="43" t="inlineStr">
        <is>
          <t>SHYAAM SUNDAR K M</t>
        </is>
      </c>
      <c r="C30" s="43" t="inlineStr">
        <is>
          <t>SECTION C</t>
        </is>
      </c>
      <c r="D30" s="4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28">
        <f>SUM(E30:P30)+(IF(Q30&lt;&gt;"",Q30,R30))+(IF(S30&lt;&gt;"",S30,T30))+(IF(U30&lt;&gt;"",U30,V30))+(IF(W30&lt;&gt;"",W30,X30))</f>
        <v/>
      </c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31">
        <f>SUM(AA30:AL30)+(IF(AM30&lt;&gt;"",AM30,AN30))+(IF(AO30&lt;&gt;"",AO30,AP30))+(IF(AQ30&lt;&gt;"",AQ30,AR30))+(IF(AS30&lt;&gt;"",AS30,AT30))</f>
        <v/>
      </c>
      <c r="AW30" s="29">
        <f>SUMPRODUCT(($E$5:$P$5="CO1")*(E30:P30))
+SUMPRODUCT(($AA$5:$AL$5="CO1")*(AA30:AL30))
+IF($Q$5="CO1",IF(Q30&lt;&gt;"",Q30,R30),0)
+IF($S$5="CO1",IF(S30&lt;&gt;"",S30,T30),0)
+IF($U$5="CO1",IF(U30&lt;&gt;"",U30,V30),0)
+IF($W$5="CO1",IF(W30&lt;&gt;"",W30,X30),0)
+IF($AM$5="CO1",IF(AM30&lt;&gt;"",AM30,AN30),0)
+IF($AO$5="CO1",IF(AO30&lt;&gt;"",AO30,AP30),0)
+IF($AQ$5="CO1",IF(AQ30&lt;&gt;"",AQ30,AR30),0)
+IF($AS$5="CO1",IF(AS30&lt;&gt;"",AS30,AT30),0)</f>
        <v/>
      </c>
      <c r="AX30" s="29">
        <f>SUMPRODUCT(($E$5:$P$5="CO2")*(E30:P30))
+SUMPRODUCT(($AA$5:$AL$5="CO2")*(AA30:AL30))
+IF($Q$5="CO2",IF(R30&lt;&gt;"",R30,S30),0)
+IF($S$5="CO2",IF(T30&lt;&gt;"",T30,U30),0)
+IF($U$5="CO2",IF(V30&lt;&gt;"",V30,W30),0)
+IF($W$5="CO2",IF(X30&lt;&gt;"",X30,Y30),0)
+IF($AM$5="CO2",IF(AN30&lt;&gt;"",AN30,AO30),0)
+IF($AO$5="CO2",IF(AP30&lt;&gt;"",AP30,AQ30),0)
+IF($AQ$5="CO2",IF(AR30&lt;&gt;"",AR30,AS30),0)
+IF($AS$5="CO2",IF(AT30&lt;&gt;"",AT30,AU30),0)</f>
        <v/>
      </c>
      <c r="AY30" s="29">
        <f>SUMPRODUCT(($E$5:$P$5="CO3")*(E30:P30))
+SUMPRODUCT(($AA$5:$AL$5="CO3")*(AA30:AL30))
+IF($Q$5="CO3",IF(Q30&lt;&gt;"",Q30,R30),0)
+IF($S$5="CO3",IF(S30&lt;&gt;"",S30,T30),0)
+IF($U$5="CO3",IF(U30&lt;&gt;"",U30,V30),0)
+IF($W$5="CO3",IF(W30&lt;&gt;"",W30,X30),0)
+IF($AM$5="CO3",IF(AM30&lt;&gt;"",AM30,AN30),0)
+IF($AO$5="CO3",IF(AO30&lt;&gt;"",AO30,AP30),0)
+IF($AQ$5="CO3",IF(AQ30&lt;&gt;"",AQ30,AR30),0)
+IF($AS$5="CO3",IF(AS30&lt;&gt;"",AS30,AT30),0)</f>
        <v/>
      </c>
      <c r="AZ30" s="29">
        <f>SUMPRODUCT(($E$5:$P$5="CO4")*(E30:P30))
+SUMPRODUCT(($AA$5:$AL$5="CO4")*(AA30:AL30))
+IF($Q$5="CO4",IF(Q30&lt;&gt;"",Q30,R30),0)
+IF($S$5="CO4",IF(S30&lt;&gt;"",S30,T30),0)
+IF($U$5="CO4",IF(U30&lt;&gt;"",U30,V30),0)
+IF($W$5="CO4",IF(W30&lt;&gt;"",W30,X30),0)
+IF($AM$5="CO4",IF(AM30&lt;&gt;"",AM30,AN30),0)
+IF($AO$5="CO4",IF(AO30&lt;&gt;"",AO30,AP30),0)
+IF($AQ$5="CO4",IF(AQ30&lt;&gt;"",AQ30,AR30),0)
+IF($AS$5="CO4",IF(AS30&lt;&gt;"",AS30,AT30),0)</f>
        <v/>
      </c>
      <c r="BA30" s="29">
        <f>SUMPRODUCT(($E$5:$P$5="CO5")*(E30:P30))
+SUMPRODUCT(($AA$5:$AL$5="CO5")*(AA30:AL30))
+IF($Q$5="CO5",IF(Q30&lt;&gt;"",Q30,R30),0)
+IF($S$5="CO5",IF(S30&lt;&gt;"",S30,T30),0)
+IF($U$5="CO5",IF(U30&lt;&gt;"",U30,V30),0)
+IF($W$5="CO5",IF(W30&lt;&gt;"",W30,X30),0)
+IF($AM$5="CO5",IF(AM30&lt;&gt;"",AM30,AN30),0)
+IF($AO$5="CO5",IF(AO30&lt;&gt;"",AO30,AP30),0)
+IF($AQ$5="CO5",IF(AQ30&lt;&gt;"",AQ30,AR30),0)
+IF($AS$5="CO5",IF(AS30&lt;&gt;"",AS30,AT30),0)</f>
        <v/>
      </c>
      <c r="BB30" s="32">
        <f>SUMPRODUCT(($E$5:$P$5="CO6")*(E30:P30))
+SUMPRODUCT(($AA$5:$AL$5="CO6")*(AA30:AL30))
+IF($Q$5="CO6",IF(Q30&lt;&gt;"",Q30,R30),0)
+IF($S$5="CO6",IF(S30&lt;&gt;"",S30,T30),0)
+IF($U$5="CO6",IF(U30&lt;&gt;"",U30,V30),0)
+IF($W$5="CO6",IF(W30&lt;&gt;"",W30,X30),0)
+IF($AM$5="CO6",IF(AM30&lt;&gt;"",AM30,AN30),0)
+IF($AO$5="CO6",IF(AO30&lt;&gt;"",AO30,AP30),0)
+IF($AQ$5="CO6",IF(AQ30&lt;&gt;"",AQ30,AR30),0)
+IF($AS$5="CO6",IF(AS30&lt;&gt;"",AS30,AT30),0)</f>
        <v/>
      </c>
      <c r="BD30" s="30" t="n">
        <v>12</v>
      </c>
      <c r="BE30" s="30" t="n">
        <v>14</v>
      </c>
      <c r="BF30" s="30" t="n">
        <v>14</v>
      </c>
      <c r="BG30" s="5" t="n"/>
      <c r="BH30" s="5" t="n"/>
      <c r="BI30" s="5" t="n"/>
      <c r="BJ30" s="25">
        <f>SUM(BD30:BI30)</f>
        <v/>
      </c>
      <c r="BL30" s="5" t="n">
        <v>8</v>
      </c>
      <c r="BM30" s="5" t="n">
        <v>8</v>
      </c>
      <c r="BN30" s="5" t="n">
        <v>12</v>
      </c>
      <c r="BO30" s="5" t="n">
        <v>12</v>
      </c>
      <c r="BP30" s="5" t="n"/>
      <c r="BQ30" s="5" t="n"/>
      <c r="BR30" s="33">
        <f>SUM(BL30:BQ30)</f>
        <v/>
      </c>
      <c r="BT30" s="36">
        <f>SUMPRODUCT(($AW$5:$BQ$5="CO1")*AW30:BQ30)</f>
        <v/>
      </c>
      <c r="BU30" s="37">
        <f>SUMPRODUCT(($AW$5:$BR$5="CO2")*AW30:BR30)</f>
        <v/>
      </c>
      <c r="BV30" s="37">
        <f>SUMPRODUCT(($AW$5:$BR$5="CO3")*AW30:BR30)</f>
        <v/>
      </c>
      <c r="BW30" s="37">
        <f>SUMPRODUCT(($AW$5:$BR$5="CO4")*AW30:BR30)</f>
        <v/>
      </c>
      <c r="BX30" s="37">
        <f>SUMPRODUCT(($AW$5:$BR$5="CO5")*AW30:BR30)</f>
        <v/>
      </c>
      <c r="BY30" s="37">
        <f>SUMPRODUCT(($AW$5:$BR$5="CO6")*AW30:BR30)</f>
        <v/>
      </c>
      <c r="BZ30" s="33">
        <f>SUM(BT30:BY30)</f>
        <v/>
      </c>
      <c r="CB30" s="38">
        <f>BT30/$BT$7*100</f>
        <v/>
      </c>
      <c r="CC30" s="38">
        <f>BU30/$BU$7*100</f>
        <v/>
      </c>
      <c r="CD30" s="38">
        <f>BV30/$BV$7*100</f>
        <v/>
      </c>
      <c r="CE30" s="38">
        <f>BW30/$BW$7*100</f>
        <v/>
      </c>
      <c r="CF30" s="38">
        <f>BX30/$BX$7*100</f>
        <v/>
      </c>
      <c r="CG30" s="38">
        <f>BY30/$BY$7*100</f>
        <v/>
      </c>
    </row>
    <row r="31" ht="15.5" customHeight="1">
      <c r="A31" s="43" t="n">
        <v>24</v>
      </c>
      <c r="B31" s="43" t="inlineStr">
        <is>
          <t>Solomon Prince V</t>
        </is>
      </c>
      <c r="C31" s="43" t="inlineStr">
        <is>
          <t>SECTION C</t>
        </is>
      </c>
      <c r="D31" s="4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28">
        <f>SUM(E31:P31)+(IF(Q31&lt;&gt;"",Q31,R31))+(IF(S31&lt;&gt;"",S31,T31))+(IF(U31&lt;&gt;"",U31,V31))+(IF(W31&lt;&gt;"",W31,X31))</f>
        <v/>
      </c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31">
        <f>SUM(AA31:AL31)+(IF(AM31&lt;&gt;"",AM31,AN31))+(IF(AO31&lt;&gt;"",AO31,AP31))+(IF(AQ31&lt;&gt;"",AQ31,AR31))+(IF(AS31&lt;&gt;"",AS31,AT31))</f>
        <v/>
      </c>
      <c r="AW31" s="29">
        <f>SUMPRODUCT(($E$5:$P$5="CO1")*(E31:P31))
+SUMPRODUCT(($AA$5:$AL$5="CO1")*(AA31:AL31))
+IF($Q$5="CO1",IF(Q31&lt;&gt;"",Q31,R31),0)
+IF($S$5="CO1",IF(S31&lt;&gt;"",S31,T31),0)
+IF($U$5="CO1",IF(U31&lt;&gt;"",U31,V31),0)
+IF($W$5="CO1",IF(W31&lt;&gt;"",W31,X31),0)
+IF($AM$5="CO1",IF(AM31&lt;&gt;"",AM31,AN31),0)
+IF($AO$5="CO1",IF(AO31&lt;&gt;"",AO31,AP31),0)
+IF($AQ$5="CO1",IF(AQ31&lt;&gt;"",AQ31,AR31),0)
+IF($AS$5="CO1",IF(AS31&lt;&gt;"",AS31,AT31),0)</f>
        <v/>
      </c>
      <c r="AX31" s="29">
        <f>SUMPRODUCT(($E$5:$P$5="CO2")*(E31:P31))
+SUMPRODUCT(($AA$5:$AL$5="CO2")*(AA31:AL31))
+IF($Q$5="CO2",IF(R31&lt;&gt;"",R31,S31),0)
+IF($S$5="CO2",IF(T31&lt;&gt;"",T31,U31),0)
+IF($U$5="CO2",IF(V31&lt;&gt;"",V31,W31),0)
+IF($W$5="CO2",IF(X31&lt;&gt;"",X31,Y31),0)
+IF($AM$5="CO2",IF(AN31&lt;&gt;"",AN31,AO31),0)
+IF($AO$5="CO2",IF(AP31&lt;&gt;"",AP31,AQ31),0)
+IF($AQ$5="CO2",IF(AR31&lt;&gt;"",AR31,AS31),0)
+IF($AS$5="CO2",IF(AT31&lt;&gt;"",AT31,AU31),0)</f>
        <v/>
      </c>
      <c r="AY31" s="29">
        <f>SUMPRODUCT(($E$5:$P$5="CO3")*(E31:P31))
+SUMPRODUCT(($AA$5:$AL$5="CO3")*(AA31:AL31))
+IF($Q$5="CO3",IF(Q31&lt;&gt;"",Q31,R31),0)
+IF($S$5="CO3",IF(S31&lt;&gt;"",S31,T31),0)
+IF($U$5="CO3",IF(U31&lt;&gt;"",U31,V31),0)
+IF($W$5="CO3",IF(W31&lt;&gt;"",W31,X31),0)
+IF($AM$5="CO3",IF(AM31&lt;&gt;"",AM31,AN31),0)
+IF($AO$5="CO3",IF(AO31&lt;&gt;"",AO31,AP31),0)
+IF($AQ$5="CO3",IF(AQ31&lt;&gt;"",AQ31,AR31),0)
+IF($AS$5="CO3",IF(AS31&lt;&gt;"",AS31,AT31),0)</f>
        <v/>
      </c>
      <c r="AZ31" s="29">
        <f>SUMPRODUCT(($E$5:$P$5="CO4")*(E31:P31))
+SUMPRODUCT(($AA$5:$AL$5="CO4")*(AA31:AL31))
+IF($Q$5="CO4",IF(Q31&lt;&gt;"",Q31,R31),0)
+IF($S$5="CO4",IF(S31&lt;&gt;"",S31,T31),0)
+IF($U$5="CO4",IF(U31&lt;&gt;"",U31,V31),0)
+IF($W$5="CO4",IF(W31&lt;&gt;"",W31,X31),0)
+IF($AM$5="CO4",IF(AM31&lt;&gt;"",AM31,AN31),0)
+IF($AO$5="CO4",IF(AO31&lt;&gt;"",AO31,AP31),0)
+IF($AQ$5="CO4",IF(AQ31&lt;&gt;"",AQ31,AR31),0)
+IF($AS$5="CO4",IF(AS31&lt;&gt;"",AS31,AT31),0)</f>
        <v/>
      </c>
      <c r="BA31" s="29">
        <f>SUMPRODUCT(($E$5:$P$5="CO5")*(E31:P31))
+SUMPRODUCT(($AA$5:$AL$5="CO5")*(AA31:AL31))
+IF($Q$5="CO5",IF(Q31&lt;&gt;"",Q31,R31),0)
+IF($S$5="CO5",IF(S31&lt;&gt;"",S31,T31),0)
+IF($U$5="CO5",IF(U31&lt;&gt;"",U31,V31),0)
+IF($W$5="CO5",IF(W31&lt;&gt;"",W31,X31),0)
+IF($AM$5="CO5",IF(AM31&lt;&gt;"",AM31,AN31),0)
+IF($AO$5="CO5",IF(AO31&lt;&gt;"",AO31,AP31),0)
+IF($AQ$5="CO5",IF(AQ31&lt;&gt;"",AQ31,AR31),0)
+IF($AS$5="CO5",IF(AS31&lt;&gt;"",AS31,AT31),0)</f>
        <v/>
      </c>
      <c r="BB31" s="29">
        <f>SUMPRODUCT(($E$5:$P$5="CO6")*(E31:P31))
+SUMPRODUCT(($AA$5:$AL$5="CO6")*(AA31:AL31))
+IF($Q$5="CO6",IF(Q31&lt;&gt;"",Q31,R31),0)
+IF($S$5="CO6",IF(S31&lt;&gt;"",S31,T31),0)
+IF($U$5="CO6",IF(U31&lt;&gt;"",U31,V31),0)
+IF($W$5="CO6",IF(W31&lt;&gt;"",W31,X31),0)
+IF($AM$5="CO6",IF(AM31&lt;&gt;"",AM31,AN31),0)
+IF($AO$5="CO6",IF(AO31&lt;&gt;"",AO31,AP31),0)
+IF($AQ$5="CO6",IF(AQ31&lt;&gt;"",AQ31,AR31),0)
+IF($AS$5="CO6",IF(AS31&lt;&gt;"",AS31,AT31),0)</f>
        <v/>
      </c>
      <c r="BD31" s="30" t="n">
        <v>12</v>
      </c>
      <c r="BE31" s="30" t="n">
        <v>14</v>
      </c>
      <c r="BF31" s="30" t="n">
        <v>14</v>
      </c>
      <c r="BG31" s="5" t="n"/>
      <c r="BH31" s="5" t="n"/>
      <c r="BI31" s="5" t="n"/>
      <c r="BJ31" s="25">
        <f>SUM(BD31:BI31)</f>
        <v/>
      </c>
      <c r="BL31" s="5" t="n">
        <v>8</v>
      </c>
      <c r="BM31" s="5" t="n">
        <v>8</v>
      </c>
      <c r="BN31" s="5" t="n">
        <v>12</v>
      </c>
      <c r="BO31" s="5" t="n">
        <v>12</v>
      </c>
      <c r="BP31" s="5" t="n"/>
      <c r="BQ31" s="5" t="n"/>
      <c r="BR31" s="33">
        <f>SUM(BL31:BQ31)</f>
        <v/>
      </c>
      <c r="BT31" s="36">
        <f>SUMPRODUCT(($AW$5:$BQ$5="CO1")*AW31:BQ31)</f>
        <v/>
      </c>
      <c r="BU31" s="37">
        <f>SUMPRODUCT(($AW$5:$BR$5="CO2")*AW31:BR31)</f>
        <v/>
      </c>
      <c r="BV31" s="37">
        <f>SUMPRODUCT(($AW$5:$BR$5="CO3")*AW31:BR31)</f>
        <v/>
      </c>
      <c r="BW31" s="37">
        <f>SUMPRODUCT(($AW$5:$BR$5="CO4")*AW31:BR31)</f>
        <v/>
      </c>
      <c r="BX31" s="37">
        <f>SUMPRODUCT(($AW$5:$BR$5="CO5")*AW31:BR31)</f>
        <v/>
      </c>
      <c r="BY31" s="37">
        <f>SUMPRODUCT(($AW$5:$BR$5="CO6")*AW31:BR31)</f>
        <v/>
      </c>
      <c r="BZ31" s="33">
        <f>SUM(BT31:BY31)</f>
        <v/>
      </c>
      <c r="CB31" s="38">
        <f>BT31/$BT$7*100</f>
        <v/>
      </c>
      <c r="CC31" s="38">
        <f>BU31/$BU$7*100</f>
        <v/>
      </c>
      <c r="CD31" s="38">
        <f>BV31/$BV$7*100</f>
        <v/>
      </c>
      <c r="CE31" s="38">
        <f>BW31/$BW$7*100</f>
        <v/>
      </c>
      <c r="CF31" s="38">
        <f>BX31/$BX$7*100</f>
        <v/>
      </c>
      <c r="CG31" s="38">
        <f>BY31/$BY$7*100</f>
        <v/>
      </c>
    </row>
    <row r="32" ht="15.5" customHeight="1">
      <c r="A32" s="43" t="n">
        <v>25</v>
      </c>
      <c r="B32" s="43" t="inlineStr">
        <is>
          <t>SWAROOP S RAO</t>
        </is>
      </c>
      <c r="C32" s="43" t="inlineStr">
        <is>
          <t>SECTION C</t>
        </is>
      </c>
      <c r="D32" s="4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28">
        <f>SUM(E32:P32)+(IF(Q32&lt;&gt;"",Q32,R32))+(IF(S32&lt;&gt;"",S32,T32))+(IF(U32&lt;&gt;"",U32,V32))+(IF(W32&lt;&gt;"",W32,X32))</f>
        <v/>
      </c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31">
        <f>SUM(AA32:AL32)+(IF(AM32&lt;&gt;"",AM32,AN32))+(IF(AO32&lt;&gt;"",AO32,AP32))+(IF(AQ32&lt;&gt;"",AQ32,AR32))+(IF(AS32&lt;&gt;"",AS32,AT32))</f>
        <v/>
      </c>
      <c r="AW32" s="29">
        <f>SUMPRODUCT(($E$5:$P$5="CO1")*(E32:P32))
+SUMPRODUCT(($AA$5:$AL$5="CO1")*(AA32:AL32))
+IF($Q$5="CO1",IF(Q32&lt;&gt;"",Q32,R32),0)
+IF($S$5="CO1",IF(S32&lt;&gt;"",S32,T32),0)
+IF($U$5="CO1",IF(U32&lt;&gt;"",U32,V32),0)
+IF($W$5="CO1",IF(W32&lt;&gt;"",W32,X32),0)
+IF($AM$5="CO1",IF(AM32&lt;&gt;"",AM32,AN32),0)
+IF($AO$5="CO1",IF(AO32&lt;&gt;"",AO32,AP32),0)
+IF($AQ$5="CO1",IF(AQ32&lt;&gt;"",AQ32,AR32),0)
+IF($AS$5="CO1",IF(AS32&lt;&gt;"",AS32,AT32),0)</f>
        <v/>
      </c>
      <c r="AX32" s="29">
        <f>SUMPRODUCT(($E$5:$P$5="CO2")*(E32:P32))
+SUMPRODUCT(($AA$5:$AL$5="CO2")*(AA32:AL32))
+IF($Q$5="CO2",IF(R32&lt;&gt;"",R32,S32),0)
+IF($S$5="CO2",IF(T32&lt;&gt;"",T32,U32),0)
+IF($U$5="CO2",IF(V32&lt;&gt;"",V32,W32),0)
+IF($W$5="CO2",IF(X32&lt;&gt;"",X32,Y32),0)
+IF($AM$5="CO2",IF(AN32&lt;&gt;"",AN32,AO32),0)
+IF($AO$5="CO2",IF(AP32&lt;&gt;"",AP32,AQ32),0)
+IF($AQ$5="CO2",IF(AR32&lt;&gt;"",AR32,AS32),0)
+IF($AS$5="CO2",IF(AT32&lt;&gt;"",AT32,AU32),0)</f>
        <v/>
      </c>
      <c r="AY32" s="29">
        <f>SUMPRODUCT(($E$5:$P$5="CO3")*(E32:P32))
+SUMPRODUCT(($AA$5:$AL$5="CO3")*(AA32:AL32))
+IF($Q$5="CO3",IF(Q32&lt;&gt;"",Q32,R32),0)
+IF($S$5="CO3",IF(S32&lt;&gt;"",S32,T32),0)
+IF($U$5="CO3",IF(U32&lt;&gt;"",U32,V32),0)
+IF($W$5="CO3",IF(W32&lt;&gt;"",W32,X32),0)
+IF($AM$5="CO3",IF(AM32&lt;&gt;"",AM32,AN32),0)
+IF($AO$5="CO3",IF(AO32&lt;&gt;"",AO32,AP32),0)
+IF($AQ$5="CO3",IF(AQ32&lt;&gt;"",AQ32,AR32),0)
+IF($AS$5="CO3",IF(AS32&lt;&gt;"",AS32,AT32),0)</f>
        <v/>
      </c>
      <c r="AZ32" s="29">
        <f>SUMPRODUCT(($E$5:$P$5="CO4")*(E32:P32))
+SUMPRODUCT(($AA$5:$AL$5="CO4")*(AA32:AL32))
+IF($Q$5="CO4",IF(Q32&lt;&gt;"",Q32,R32),0)
+IF($S$5="CO4",IF(S32&lt;&gt;"",S32,T32),0)
+IF($U$5="CO4",IF(U32&lt;&gt;"",U32,V32),0)
+IF($W$5="CO4",IF(W32&lt;&gt;"",W32,X32),0)
+IF($AM$5="CO4",IF(AM32&lt;&gt;"",AM32,AN32),0)
+IF($AO$5="CO4",IF(AO32&lt;&gt;"",AO32,AP32),0)
+IF($AQ$5="CO4",IF(AQ32&lt;&gt;"",AQ32,AR32),0)
+IF($AS$5="CO4",IF(AS32&lt;&gt;"",AS32,AT32),0)</f>
        <v/>
      </c>
      <c r="BA32" s="29">
        <f>SUMPRODUCT(($E$5:$P$5="CO5")*(E32:P32))
+SUMPRODUCT(($AA$5:$AL$5="CO5")*(AA32:AL32))
+IF($Q$5="CO5",IF(Q32&lt;&gt;"",Q32,R32),0)
+IF($S$5="CO5",IF(S32&lt;&gt;"",S32,T32),0)
+IF($U$5="CO5",IF(U32&lt;&gt;"",U32,V32),0)
+IF($W$5="CO5",IF(W32&lt;&gt;"",W32,X32),0)
+IF($AM$5="CO5",IF(AM32&lt;&gt;"",AM32,AN32),0)
+IF($AO$5="CO5",IF(AO32&lt;&gt;"",AO32,AP32),0)
+IF($AQ$5="CO5",IF(AQ32&lt;&gt;"",AQ32,AR32),0)
+IF($AS$5="CO5",IF(AS32&lt;&gt;"",AS32,AT32),0)</f>
        <v/>
      </c>
      <c r="BB32" s="29">
        <f>SUMPRODUCT(($E$5:$P$5="CO6")*(E32:P32))
+SUMPRODUCT(($AA$5:$AL$5="CO6")*(AA32:AL32))
+IF($Q$5="CO6",IF(Q32&lt;&gt;"",Q32,R32),0)
+IF($S$5="CO6",IF(S32&lt;&gt;"",S32,T32),0)
+IF($U$5="CO6",IF(U32&lt;&gt;"",U32,V32),0)
+IF($W$5="CO6",IF(W32&lt;&gt;"",W32,X32),0)
+IF($AM$5="CO6",IF(AM32&lt;&gt;"",AM32,AN32),0)
+IF($AO$5="CO6",IF(AO32&lt;&gt;"",AO32,AP32),0)
+IF($AQ$5="CO6",IF(AQ32&lt;&gt;"",AQ32,AR32),0)
+IF($AS$5="CO6",IF(AS32&lt;&gt;"",AS32,AT32),0)</f>
        <v/>
      </c>
      <c r="BD32" s="30" t="n">
        <v>12</v>
      </c>
      <c r="BE32" s="30" t="n">
        <v>14</v>
      </c>
      <c r="BF32" s="30" t="n">
        <v>14</v>
      </c>
      <c r="BG32" s="5" t="n"/>
      <c r="BH32" s="5" t="n"/>
      <c r="BI32" s="5" t="n"/>
      <c r="BJ32" s="25">
        <f>SUM(BD32:BI32)</f>
        <v/>
      </c>
      <c r="BL32" s="5" t="n">
        <v>8</v>
      </c>
      <c r="BM32" s="5" t="n">
        <v>8</v>
      </c>
      <c r="BN32" s="5" t="n">
        <v>12</v>
      </c>
      <c r="BO32" s="5" t="n">
        <v>12</v>
      </c>
      <c r="BP32" s="5" t="n"/>
      <c r="BQ32" s="5" t="n"/>
      <c r="BR32" s="33">
        <f>SUM(BL32:BQ32)</f>
        <v/>
      </c>
      <c r="BT32" s="36">
        <f>SUMPRODUCT(($AW$5:$BQ$5="CO1")*AW32:BQ32)</f>
        <v/>
      </c>
      <c r="BU32" s="37">
        <f>SUMPRODUCT(($AW$5:$BR$5="CO2")*AW32:BR32)</f>
        <v/>
      </c>
      <c r="BV32" s="37">
        <f>SUMPRODUCT(($AW$5:$BR$5="CO3")*AW32:BR32)</f>
        <v/>
      </c>
      <c r="BW32" s="37">
        <f>SUMPRODUCT(($AW$5:$BR$5="CO4")*AW32:BR32)</f>
        <v/>
      </c>
      <c r="BX32" s="37">
        <f>SUMPRODUCT(($AW$5:$BR$5="CO5")*AW32:BR32)</f>
        <v/>
      </c>
      <c r="BY32" s="37">
        <f>SUMPRODUCT(($AW$5:$BR$5="CO6")*AW32:BR32)</f>
        <v/>
      </c>
      <c r="BZ32" s="33">
        <f>SUM(BT32:BY32)</f>
        <v/>
      </c>
      <c r="CB32" s="38">
        <f>BT32/$BT$7*100</f>
        <v/>
      </c>
      <c r="CC32" s="38">
        <f>BU32/$BU$7*100</f>
        <v/>
      </c>
      <c r="CD32" s="38">
        <f>BV32/$BV$7*100</f>
        <v/>
      </c>
      <c r="CE32" s="38">
        <f>BW32/$BW$7*100</f>
        <v/>
      </c>
      <c r="CF32" s="38">
        <f>BX32/$BX$7*100</f>
        <v/>
      </c>
      <c r="CG32" s="38">
        <f>BY32/$BY$7*100</f>
        <v/>
      </c>
    </row>
    <row r="33" ht="15.5" customHeight="1">
      <c r="A33" s="43" t="n">
        <v>26</v>
      </c>
      <c r="B33" s="43" t="inlineStr">
        <is>
          <t>THANGA VIGNESH M</t>
        </is>
      </c>
      <c r="C33" s="43" t="inlineStr">
        <is>
          <t>SECTION C</t>
        </is>
      </c>
      <c r="D33" s="4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28">
        <f>SUM(E33:P33)+(IF(Q33&lt;&gt;"",Q33,R33))+(IF(S33&lt;&gt;"",S33,T33))+(IF(U33&lt;&gt;"",U33,V33))+(IF(W33&lt;&gt;"",W33,X33))</f>
        <v/>
      </c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31">
        <f>SUM(AA33:AL33)+(IF(AM33&lt;&gt;"",AM33,AN33))+(IF(AO33&lt;&gt;"",AO33,AP33))+(IF(AQ33&lt;&gt;"",AQ33,AR33))+(IF(AS33&lt;&gt;"",AS33,AT33))</f>
        <v/>
      </c>
      <c r="AW33" s="29">
        <f>SUMPRODUCT(($E$5:$P$5="CO1")*(E33:P33))
+SUMPRODUCT(($AA$5:$AL$5="CO1")*(AA33:AL33))
+IF($Q$5="CO1",IF(Q33&lt;&gt;"",Q33,R33),0)
+IF($S$5="CO1",IF(S33&lt;&gt;"",S33,T33),0)
+IF($U$5="CO1",IF(U33&lt;&gt;"",U33,V33),0)
+IF($W$5="CO1",IF(W33&lt;&gt;"",W33,X33),0)
+IF($AM$5="CO1",IF(AM33&lt;&gt;"",AM33,AN33),0)
+IF($AO$5="CO1",IF(AO33&lt;&gt;"",AO33,AP33),0)
+IF($AQ$5="CO1",IF(AQ33&lt;&gt;"",AQ33,AR33),0)
+IF($AS$5="CO1",IF(AS33&lt;&gt;"",AS33,AT33),0)</f>
        <v/>
      </c>
      <c r="AX33" s="29">
        <f>SUMPRODUCT(($E$5:$P$5="CO2")*(E33:P33))
+SUMPRODUCT(($AA$5:$AL$5="CO2")*(AA33:AL33))
+IF($Q$5="CO2",IF(R33&lt;&gt;"",R33,S33),0)
+IF($S$5="CO2",IF(T33&lt;&gt;"",T33,U33),0)
+IF($U$5="CO2",IF(V33&lt;&gt;"",V33,W33),0)
+IF($W$5="CO2",IF(X33&lt;&gt;"",X33,Y33),0)
+IF($AM$5="CO2",IF(AN33&lt;&gt;"",AN33,AO33),0)
+IF($AO$5="CO2",IF(AP33&lt;&gt;"",AP33,AQ33),0)
+IF($AQ$5="CO2",IF(AR33&lt;&gt;"",AR33,AS33),0)
+IF($AS$5="CO2",IF(AT33&lt;&gt;"",AT33,AU33),0)</f>
        <v/>
      </c>
      <c r="AY33" s="29">
        <f>SUMPRODUCT(($E$5:$P$5="CO3")*(E33:P33))
+SUMPRODUCT(($AA$5:$AL$5="CO3")*(AA33:AL33))
+IF($Q$5="CO3",IF(Q33&lt;&gt;"",Q33,R33),0)
+IF($S$5="CO3",IF(S33&lt;&gt;"",S33,T33),0)
+IF($U$5="CO3",IF(U33&lt;&gt;"",U33,V33),0)
+IF($W$5="CO3",IF(W33&lt;&gt;"",W33,X33),0)
+IF($AM$5="CO3",IF(AM33&lt;&gt;"",AM33,AN33),0)
+IF($AO$5="CO3",IF(AO33&lt;&gt;"",AO33,AP33),0)
+IF($AQ$5="CO3",IF(AQ33&lt;&gt;"",AQ33,AR33),0)
+IF($AS$5="CO3",IF(AS33&lt;&gt;"",AS33,AT33),0)</f>
        <v/>
      </c>
      <c r="AZ33" s="29">
        <f>SUMPRODUCT(($E$5:$P$5="CO4")*(E33:P33))
+SUMPRODUCT(($AA$5:$AL$5="CO4")*(AA33:AL33))
+IF($Q$5="CO4",IF(Q33&lt;&gt;"",Q33,R33),0)
+IF($S$5="CO4",IF(S33&lt;&gt;"",S33,T33),0)
+IF($U$5="CO4",IF(U33&lt;&gt;"",U33,V33),0)
+IF($W$5="CO4",IF(W33&lt;&gt;"",W33,X33),0)
+IF($AM$5="CO4",IF(AM33&lt;&gt;"",AM33,AN33),0)
+IF($AO$5="CO4",IF(AO33&lt;&gt;"",AO33,AP33),0)
+IF($AQ$5="CO4",IF(AQ33&lt;&gt;"",AQ33,AR33),0)
+IF($AS$5="CO4",IF(AS33&lt;&gt;"",AS33,AT33),0)</f>
        <v/>
      </c>
      <c r="BA33" s="29">
        <f>SUMPRODUCT(($E$5:$P$5="CO5")*(E33:P33))
+SUMPRODUCT(($AA$5:$AL$5="CO5")*(AA33:AL33))
+IF($Q$5="CO5",IF(Q33&lt;&gt;"",Q33,R33),0)
+IF($S$5="CO5",IF(S33&lt;&gt;"",S33,T33),0)
+IF($U$5="CO5",IF(U33&lt;&gt;"",U33,V33),0)
+IF($W$5="CO5",IF(W33&lt;&gt;"",W33,X33),0)
+IF($AM$5="CO5",IF(AM33&lt;&gt;"",AM33,AN33),0)
+IF($AO$5="CO5",IF(AO33&lt;&gt;"",AO33,AP33),0)
+IF($AQ$5="CO5",IF(AQ33&lt;&gt;"",AQ33,AR33),0)
+IF($AS$5="CO5",IF(AS33&lt;&gt;"",AS33,AT33),0)</f>
        <v/>
      </c>
      <c r="BB33" s="29">
        <f>SUMPRODUCT(($E$5:$P$5="CO6")*(E33:P33))
+SUMPRODUCT(($AA$5:$AL$5="CO6")*(AA33:AL33))
+IF($Q$5="CO6",IF(Q33&lt;&gt;"",Q33,R33),0)
+IF($S$5="CO6",IF(S33&lt;&gt;"",S33,T33),0)
+IF($U$5="CO6",IF(U33&lt;&gt;"",U33,V33),0)
+IF($W$5="CO6",IF(W33&lt;&gt;"",W33,X33),0)
+IF($AM$5="CO6",IF(AM33&lt;&gt;"",AM33,AN33),0)
+IF($AO$5="CO6",IF(AO33&lt;&gt;"",AO33,AP33),0)
+IF($AQ$5="CO6",IF(AQ33&lt;&gt;"",AQ33,AR33),0)
+IF($AS$5="CO6",IF(AS33&lt;&gt;"",AS33,AT33),0)</f>
        <v/>
      </c>
      <c r="BD33" s="30" t="n">
        <v>12</v>
      </c>
      <c r="BE33" s="30" t="n">
        <v>14</v>
      </c>
      <c r="BF33" s="30" t="n">
        <v>14</v>
      </c>
      <c r="BG33" s="5" t="n"/>
      <c r="BH33" s="5" t="n"/>
      <c r="BI33" s="5" t="n"/>
      <c r="BJ33" s="25">
        <f>SUM(BD33:BI33)</f>
        <v/>
      </c>
      <c r="BL33" s="5" t="n">
        <v>8</v>
      </c>
      <c r="BM33" s="5" t="n">
        <v>8</v>
      </c>
      <c r="BN33" s="5" t="n">
        <v>12</v>
      </c>
      <c r="BO33" s="5" t="n">
        <v>12</v>
      </c>
      <c r="BP33" s="5" t="n"/>
      <c r="BQ33" s="5" t="n"/>
      <c r="BR33" s="33">
        <f>SUM(BL33:BQ33)</f>
        <v/>
      </c>
      <c r="BT33" s="36">
        <f>SUMPRODUCT(($AW$5:$BQ$5="CO1")*AW33:BQ33)</f>
        <v/>
      </c>
      <c r="BU33" s="37">
        <f>SUMPRODUCT(($AW$5:$BR$5="CO2")*AW33:BR33)</f>
        <v/>
      </c>
      <c r="BV33" s="37">
        <f>SUMPRODUCT(($AW$5:$BR$5="CO3")*AW33:BR33)</f>
        <v/>
      </c>
      <c r="BW33" s="37">
        <f>SUMPRODUCT(($AW$5:$BR$5="CO4")*AW33:BR33)</f>
        <v/>
      </c>
      <c r="BX33" s="37">
        <f>SUMPRODUCT(($AW$5:$BR$5="CO5")*AW33:BR33)</f>
        <v/>
      </c>
      <c r="BY33" s="37">
        <f>SUMPRODUCT(($AW$5:$BR$5="CO6")*AW33:BR33)</f>
        <v/>
      </c>
      <c r="BZ33" s="33">
        <f>SUM(BT33:BY33)</f>
        <v/>
      </c>
      <c r="CB33" s="38">
        <f>BT33/$BT$7*100</f>
        <v/>
      </c>
      <c r="CC33" s="38">
        <f>BU33/$BU$7*100</f>
        <v/>
      </c>
      <c r="CD33" s="38">
        <f>BV33/$BV$7*100</f>
        <v/>
      </c>
      <c r="CE33" s="38">
        <f>BW33/$BW$7*100</f>
        <v/>
      </c>
      <c r="CF33" s="38">
        <f>BX33/$BX$7*100</f>
        <v/>
      </c>
      <c r="CG33" s="38">
        <f>BY33/$BY$7*100</f>
        <v/>
      </c>
    </row>
    <row r="34" ht="15.5" customHeight="1">
      <c r="A34" s="43" t="n">
        <v>27</v>
      </c>
      <c r="B34" s="43" t="inlineStr">
        <is>
          <t>VISHAL M</t>
        </is>
      </c>
      <c r="C34" s="43" t="inlineStr">
        <is>
          <t>SECTION C</t>
        </is>
      </c>
      <c r="D34" s="4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28">
        <f>SUM(E34:P34)+(IF(Q34&lt;&gt;"",Q34,R34))+(IF(S34&lt;&gt;"",S34,T34))+(IF(U34&lt;&gt;"",U34,V34))+(IF(W34&lt;&gt;"",W34,X34))</f>
        <v/>
      </c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31">
        <f>SUM(AA34:AL34)+(IF(AM34&lt;&gt;"",AM34,AN34))+(IF(AO34&lt;&gt;"",AO34,AP34))+(IF(AQ34&lt;&gt;"",AQ34,AR34))+(IF(AS34&lt;&gt;"",AS34,AT34))</f>
        <v/>
      </c>
      <c r="AW34" s="29">
        <f>SUMPRODUCT(($E$5:$P$5="CO1")*(E34:P34))
+SUMPRODUCT(($AA$5:$AL$5="CO1")*(AA34:AL34))
+IF($Q$5="CO1",IF(Q34&lt;&gt;"",Q34,R34),0)
+IF($S$5="CO1",IF(S34&lt;&gt;"",S34,T34),0)
+IF($U$5="CO1",IF(U34&lt;&gt;"",U34,V34),0)
+IF($W$5="CO1",IF(W34&lt;&gt;"",W34,X34),0)
+IF($AM$5="CO1",IF(AM34&lt;&gt;"",AM34,AN34),0)
+IF($AO$5="CO1",IF(AO34&lt;&gt;"",AO34,AP34),0)
+IF($AQ$5="CO1",IF(AQ34&lt;&gt;"",AQ34,AR34),0)
+IF($AS$5="CO1",IF(AS34&lt;&gt;"",AS34,AT34),0)</f>
        <v/>
      </c>
      <c r="AX34" s="29">
        <f>SUMPRODUCT(($E$5:$P$5="CO2")*(E34:P34))
+SUMPRODUCT(($AA$5:$AL$5="CO2")*(AA34:AL34))
+IF($Q$5="CO2",IF(R34&lt;&gt;"",R34,S34),0)
+IF($S$5="CO2",IF(T34&lt;&gt;"",T34,U34),0)
+IF($U$5="CO2",IF(V34&lt;&gt;"",V34,W34),0)
+IF($W$5="CO2",IF(X34&lt;&gt;"",X34,Y34),0)
+IF($AM$5="CO2",IF(AN34&lt;&gt;"",AN34,AO34),0)
+IF($AO$5="CO2",IF(AP34&lt;&gt;"",AP34,AQ34),0)
+IF($AQ$5="CO2",IF(AR34&lt;&gt;"",AR34,AS34),0)
+IF($AS$5="CO2",IF(AT34&lt;&gt;"",AT34,AU34),0)</f>
        <v/>
      </c>
      <c r="AY34" s="29">
        <f>SUMPRODUCT(($E$5:$P$5="CO3")*(E34:P34))
+SUMPRODUCT(($AA$5:$AL$5="CO3")*(AA34:AL34))
+IF($Q$5="CO3",IF(Q34&lt;&gt;"",Q34,R34),0)
+IF($S$5="CO3",IF(S34&lt;&gt;"",S34,T34),0)
+IF($U$5="CO3",IF(U34&lt;&gt;"",U34,V34),0)
+IF($W$5="CO3",IF(W34&lt;&gt;"",W34,X34),0)
+IF($AM$5="CO3",IF(AM34&lt;&gt;"",AM34,AN34),0)
+IF($AO$5="CO3",IF(AO34&lt;&gt;"",AO34,AP34),0)
+IF($AQ$5="CO3",IF(AQ34&lt;&gt;"",AQ34,AR34),0)
+IF($AS$5="CO3",IF(AS34&lt;&gt;"",AS34,AT34),0)</f>
        <v/>
      </c>
      <c r="AZ34" s="29">
        <f>SUMPRODUCT(($E$5:$P$5="CO4")*(E34:P34))
+SUMPRODUCT(($AA$5:$AL$5="CO4")*(AA34:AL34))
+IF($Q$5="CO4",IF(Q34&lt;&gt;"",Q34,R34),0)
+IF($S$5="CO4",IF(S34&lt;&gt;"",S34,T34),0)
+IF($U$5="CO4",IF(U34&lt;&gt;"",U34,V34),0)
+IF($W$5="CO4",IF(W34&lt;&gt;"",W34,X34),0)
+IF($AM$5="CO4",IF(AM34&lt;&gt;"",AM34,AN34),0)
+IF($AO$5="CO4",IF(AO34&lt;&gt;"",AO34,AP34),0)
+IF($AQ$5="CO4",IF(AQ34&lt;&gt;"",AQ34,AR34),0)
+IF($AS$5="CO4",IF(AS34&lt;&gt;"",AS34,AT34),0)</f>
        <v/>
      </c>
      <c r="BA34" s="29">
        <f>SUMPRODUCT(($E$5:$P$5="CO5")*(E34:P34))
+SUMPRODUCT(($AA$5:$AL$5="CO5")*(AA34:AL34))
+IF($Q$5="CO5",IF(Q34&lt;&gt;"",Q34,R34),0)
+IF($S$5="CO5",IF(S34&lt;&gt;"",S34,T34),0)
+IF($U$5="CO5",IF(U34&lt;&gt;"",U34,V34),0)
+IF($W$5="CO5",IF(W34&lt;&gt;"",W34,X34),0)
+IF($AM$5="CO5",IF(AM34&lt;&gt;"",AM34,AN34),0)
+IF($AO$5="CO5",IF(AO34&lt;&gt;"",AO34,AP34),0)
+IF($AQ$5="CO5",IF(AQ34&lt;&gt;"",AQ34,AR34),0)
+IF($AS$5="CO5",IF(AS34&lt;&gt;"",AS34,AT34),0)</f>
        <v/>
      </c>
      <c r="BB34" s="29">
        <f>SUMPRODUCT(($E$5:$P$5="CO6")*(E34:P34))
+SUMPRODUCT(($AA$5:$AL$5="CO6")*(AA34:AL34))
+IF($Q$5="CO6",IF(Q34&lt;&gt;"",Q34,R34),0)
+IF($S$5="CO6",IF(S34&lt;&gt;"",S34,T34),0)
+IF($U$5="CO6",IF(U34&lt;&gt;"",U34,V34),0)
+IF($W$5="CO6",IF(W34&lt;&gt;"",W34,X34),0)
+IF($AM$5="CO6",IF(AM34&lt;&gt;"",AM34,AN34),0)
+IF($AO$5="CO6",IF(AO34&lt;&gt;"",AO34,AP34),0)
+IF($AQ$5="CO6",IF(AQ34&lt;&gt;"",AQ34,AR34),0)
+IF($AS$5="CO6",IF(AS34&lt;&gt;"",AS34,AT34),0)</f>
        <v/>
      </c>
      <c r="BD34" s="30" t="n">
        <v>12</v>
      </c>
      <c r="BE34" s="30" t="n">
        <v>14</v>
      </c>
      <c r="BF34" s="30" t="n">
        <v>14</v>
      </c>
      <c r="BG34" s="5" t="n"/>
      <c r="BH34" s="5" t="n"/>
      <c r="BI34" s="5" t="n"/>
      <c r="BJ34" s="25">
        <f>SUM(BD34:BI34)</f>
        <v/>
      </c>
      <c r="BL34" s="5" t="n">
        <v>8</v>
      </c>
      <c r="BM34" s="5" t="n">
        <v>8</v>
      </c>
      <c r="BN34" s="5" t="n">
        <v>12</v>
      </c>
      <c r="BO34" s="5" t="n">
        <v>12</v>
      </c>
      <c r="BP34" s="5" t="n"/>
      <c r="BQ34" s="5" t="n"/>
      <c r="BR34" s="33">
        <f>SUM(BL34:BQ34)</f>
        <v/>
      </c>
      <c r="BT34" s="36">
        <f>SUMPRODUCT(($AW$5:$BQ$5="CO1")*AW34:BQ34)</f>
        <v/>
      </c>
      <c r="BU34" s="37">
        <f>SUMPRODUCT(($AW$5:$BR$5="CO2")*AW34:BR34)</f>
        <v/>
      </c>
      <c r="BV34" s="37">
        <f>SUMPRODUCT(($AW$5:$BR$5="CO3")*AW34:BR34)</f>
        <v/>
      </c>
      <c r="BW34" s="37">
        <f>SUMPRODUCT(($AW$5:$BR$5="CO4")*AW34:BR34)</f>
        <v/>
      </c>
      <c r="BX34" s="37">
        <f>SUMPRODUCT(($AW$5:$BR$5="CO5")*AW34:BR34)</f>
        <v/>
      </c>
      <c r="BY34" s="37">
        <f>SUMPRODUCT(($AW$5:$BR$5="CO6")*AW34:BR34)</f>
        <v/>
      </c>
      <c r="BZ34" s="33">
        <f>SUM(BT34:BY34)</f>
        <v/>
      </c>
      <c r="CB34" s="38">
        <f>BT34/$BT$7*100</f>
        <v/>
      </c>
      <c r="CC34" s="38">
        <f>BU34/$BU$7*100</f>
        <v/>
      </c>
      <c r="CD34" s="38">
        <f>BV34/$BV$7*100</f>
        <v/>
      </c>
      <c r="CE34" s="38">
        <f>BW34/$BW$7*100</f>
        <v/>
      </c>
      <c r="CF34" s="38">
        <f>BX34/$BX$7*100</f>
        <v/>
      </c>
      <c r="CG34" s="38">
        <f>BY34/$BY$7*100</f>
        <v/>
      </c>
    </row>
    <row r="35" ht="15.5" customHeight="1">
      <c r="A35" s="43" t="n">
        <v>28</v>
      </c>
      <c r="B35" s="43" t="inlineStr">
        <is>
          <t>Vishnu Kumar S</t>
        </is>
      </c>
      <c r="C35" s="43" t="inlineStr">
        <is>
          <t>SECTION C</t>
        </is>
      </c>
      <c r="D35" s="4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28">
        <f>SUM(E35:P35)+(IF(Q35&lt;&gt;"",Q35,R35))+(IF(S35&lt;&gt;"",S35,T35))+(IF(U35&lt;&gt;"",U35,V35))+(IF(W35&lt;&gt;"",W35,X35))</f>
        <v/>
      </c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31">
        <f>SUM(AA35:AL35)+(IF(AM35&lt;&gt;"",AM35,AN35))+(IF(AO35&lt;&gt;"",AO35,AP35))+(IF(AQ35&lt;&gt;"",AQ35,AR35))+(IF(AS35&lt;&gt;"",AS35,AT35))</f>
        <v/>
      </c>
      <c r="AW35" s="29">
        <f>SUMPRODUCT(($E$5:$P$5="CO1")*(E35:P35))
+SUMPRODUCT(($AA$5:$AL$5="CO1")*(AA35:AL35))
+IF($Q$5="CO1",IF(Q35&lt;&gt;"",Q35,R35),0)
+IF($S$5="CO1",IF(S35&lt;&gt;"",S35,T35),0)
+IF($U$5="CO1",IF(U35&lt;&gt;"",U35,V35),0)
+IF($W$5="CO1",IF(W35&lt;&gt;"",W35,X35),0)
+IF($AM$5="CO1",IF(AM35&lt;&gt;"",AM35,AN35),0)
+IF($AO$5="CO1",IF(AO35&lt;&gt;"",AO35,AP35),0)
+IF($AQ$5="CO1",IF(AQ35&lt;&gt;"",AQ35,AR35),0)
+IF($AS$5="CO1",IF(AS35&lt;&gt;"",AS35,AT35),0)</f>
        <v/>
      </c>
      <c r="AX35" s="29">
        <f>SUMPRODUCT(($E$5:$P$5="CO2")*(E35:P35))
+SUMPRODUCT(($AA$5:$AL$5="CO2")*(AA35:AL35))
+IF($Q$5="CO2",IF(R35&lt;&gt;"",R35,S35),0)
+IF($S$5="CO2",IF(T35&lt;&gt;"",T35,U35),0)
+IF($U$5="CO2",IF(V35&lt;&gt;"",V35,W35),0)
+IF($W$5="CO2",IF(X35&lt;&gt;"",X35,Y35),0)
+IF($AM$5="CO2",IF(AN35&lt;&gt;"",AN35,AO35),0)
+IF($AO$5="CO2",IF(AP35&lt;&gt;"",AP35,AQ35),0)
+IF($AQ$5="CO2",IF(AR35&lt;&gt;"",AR35,AS35),0)
+IF($AS$5="CO2",IF(AT35&lt;&gt;"",AT35,AU35),0)</f>
        <v/>
      </c>
      <c r="AY35" s="29">
        <f>SUMPRODUCT(($E$5:$P$5="CO3")*(E35:P35))
+SUMPRODUCT(($AA$5:$AL$5="CO3")*(AA35:AL35))
+IF($Q$5="CO3",IF(Q35&lt;&gt;"",Q35,R35),0)
+IF($S$5="CO3",IF(S35&lt;&gt;"",S35,T35),0)
+IF($U$5="CO3",IF(U35&lt;&gt;"",U35,V35),0)
+IF($W$5="CO3",IF(W35&lt;&gt;"",W35,X35),0)
+IF($AM$5="CO3",IF(AM35&lt;&gt;"",AM35,AN35),0)
+IF($AO$5="CO3",IF(AO35&lt;&gt;"",AO35,AP35),0)
+IF($AQ$5="CO3",IF(AQ35&lt;&gt;"",AQ35,AR35),0)
+IF($AS$5="CO3",IF(AS35&lt;&gt;"",AS35,AT35),0)</f>
        <v/>
      </c>
      <c r="AZ35" s="29">
        <f>SUMPRODUCT(($E$5:$P$5="CO4")*(E35:P35))
+SUMPRODUCT(($AA$5:$AL$5="CO4")*(AA35:AL35))
+IF($Q$5="CO4",IF(Q35&lt;&gt;"",Q35,R35),0)
+IF($S$5="CO4",IF(S35&lt;&gt;"",S35,T35),0)
+IF($U$5="CO4",IF(U35&lt;&gt;"",U35,V35),0)
+IF($W$5="CO4",IF(W35&lt;&gt;"",W35,X35),0)
+IF($AM$5="CO4",IF(AM35&lt;&gt;"",AM35,AN35),0)
+IF($AO$5="CO4",IF(AO35&lt;&gt;"",AO35,AP35),0)
+IF($AQ$5="CO4",IF(AQ35&lt;&gt;"",AQ35,AR35),0)
+IF($AS$5="CO4",IF(AS35&lt;&gt;"",AS35,AT35),0)</f>
        <v/>
      </c>
      <c r="BA35" s="29">
        <f>SUMPRODUCT(($E$5:$P$5="CO5")*(E35:P35))
+SUMPRODUCT(($AA$5:$AL$5="CO5")*(AA35:AL35))
+IF($Q$5="CO5",IF(Q35&lt;&gt;"",Q35,R35),0)
+IF($S$5="CO5",IF(S35&lt;&gt;"",S35,T35),0)
+IF($U$5="CO5",IF(U35&lt;&gt;"",U35,V35),0)
+IF($W$5="CO5",IF(W35&lt;&gt;"",W35,X35),0)
+IF($AM$5="CO5",IF(AM35&lt;&gt;"",AM35,AN35),0)
+IF($AO$5="CO5",IF(AO35&lt;&gt;"",AO35,AP35),0)
+IF($AQ$5="CO5",IF(AQ35&lt;&gt;"",AQ35,AR35),0)
+IF($AS$5="CO5",IF(AS35&lt;&gt;"",AS35,AT35),0)</f>
        <v/>
      </c>
      <c r="BB35" s="29">
        <f>SUMPRODUCT(($E$5:$P$5="CO6")*(E35:P35))
+SUMPRODUCT(($AA$5:$AL$5="CO6")*(AA35:AL35))
+IF($Q$5="CO6",IF(Q35&lt;&gt;"",Q35,R35),0)
+IF($S$5="CO6",IF(S35&lt;&gt;"",S35,T35),0)
+IF($U$5="CO6",IF(U35&lt;&gt;"",U35,V35),0)
+IF($W$5="CO6",IF(W35&lt;&gt;"",W35,X35),0)
+IF($AM$5="CO6",IF(AM35&lt;&gt;"",AM35,AN35),0)
+IF($AO$5="CO6",IF(AO35&lt;&gt;"",AO35,AP35),0)
+IF($AQ$5="CO6",IF(AQ35&lt;&gt;"",AQ35,AR35),0)
+IF($AS$5="CO6",IF(AS35&lt;&gt;"",AS35,AT35),0)</f>
        <v/>
      </c>
      <c r="BD35" s="30" t="n">
        <v>12</v>
      </c>
      <c r="BE35" s="30" t="n">
        <v>14</v>
      </c>
      <c r="BF35" s="30" t="n">
        <v>14</v>
      </c>
      <c r="BG35" s="5" t="n"/>
      <c r="BH35" s="5" t="n"/>
      <c r="BI35" s="5" t="n"/>
      <c r="BJ35" s="25">
        <f>SUM(BD35:BI35)</f>
        <v/>
      </c>
      <c r="BL35" s="5" t="n">
        <v>8</v>
      </c>
      <c r="BM35" s="5" t="n">
        <v>8</v>
      </c>
      <c r="BN35" s="5" t="n">
        <v>12</v>
      </c>
      <c r="BO35" s="5" t="n">
        <v>12</v>
      </c>
      <c r="BP35" s="5" t="n"/>
      <c r="BQ35" s="5" t="n"/>
      <c r="BR35" s="33">
        <f>SUM(BL35:BQ35)</f>
        <v/>
      </c>
      <c r="BT35" s="36">
        <f>SUMPRODUCT(($AW$5:$BQ$5="CO1")*AW35:BQ35)</f>
        <v/>
      </c>
      <c r="BU35" s="37">
        <f>SUMPRODUCT(($AW$5:$BR$5="CO2")*AW35:BR35)</f>
        <v/>
      </c>
      <c r="BV35" s="37">
        <f>SUMPRODUCT(($AW$5:$BR$5="CO3")*AW35:BR35)</f>
        <v/>
      </c>
      <c r="BW35" s="37">
        <f>SUMPRODUCT(($AW$5:$BR$5="CO4")*AW35:BR35)</f>
        <v/>
      </c>
      <c r="BX35" s="37">
        <f>SUMPRODUCT(($AW$5:$BR$5="CO5")*AW35:BR35)</f>
        <v/>
      </c>
      <c r="BY35" s="37">
        <f>SUMPRODUCT(($AW$5:$BR$5="CO6")*AW35:BR35)</f>
        <v/>
      </c>
      <c r="BZ35" s="33">
        <f>SUM(BT35:BY35)</f>
        <v/>
      </c>
      <c r="CB35" s="38">
        <f>BT35/$BT$7*100</f>
        <v/>
      </c>
      <c r="CC35" s="38">
        <f>BU35/$BU$7*100</f>
        <v/>
      </c>
      <c r="CD35" s="38">
        <f>BV35/$BV$7*100</f>
        <v/>
      </c>
      <c r="CE35" s="38">
        <f>BW35/$BW$7*100</f>
        <v/>
      </c>
      <c r="CF35" s="38">
        <f>BX35/$BX$7*100</f>
        <v/>
      </c>
      <c r="CG35" s="38">
        <f>BY35/$BY$7*100</f>
        <v/>
      </c>
    </row>
    <row r="36" ht="15.5" customHeight="1">
      <c r="A36" s="43" t="n">
        <v>29</v>
      </c>
      <c r="B36" s="43" t="inlineStr">
        <is>
          <t>VISHVA V</t>
        </is>
      </c>
      <c r="C36" s="43" t="inlineStr">
        <is>
          <t>SECTION C</t>
        </is>
      </c>
      <c r="D36" s="4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28">
        <f>SUM(E36:P36)+(IF(Q36&lt;&gt;"",Q36,R36))+(IF(S36&lt;&gt;"",S36,T36))+(IF(U36&lt;&gt;"",U36,V36))+(IF(W36&lt;&gt;"",W36,X36))</f>
        <v/>
      </c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31">
        <f>SUM(AA36:AL36)+(IF(AM36&lt;&gt;"",AM36,AN36))+(IF(AO36&lt;&gt;"",AO36,AP36))+(IF(AQ36&lt;&gt;"",AQ36,AR36))+(IF(AS36&lt;&gt;"",AS36,AT36))</f>
        <v/>
      </c>
      <c r="AW36" s="29">
        <f>SUMPRODUCT(($E$5:$P$5="CO1")*(E36:P36))
+SUMPRODUCT(($AA$5:$AL$5="CO1")*(AA36:AL36))
+IF($Q$5="CO1",IF(Q36&lt;&gt;"",Q36,R36),0)
+IF($S$5="CO1",IF(S36&lt;&gt;"",S36,T36),0)
+IF($U$5="CO1",IF(U36&lt;&gt;"",U36,V36),0)
+IF($W$5="CO1",IF(W36&lt;&gt;"",W36,X36),0)
+IF($AM$5="CO1",IF(AM36&lt;&gt;"",AM36,AN36),0)
+IF($AO$5="CO1",IF(AO36&lt;&gt;"",AO36,AP36),0)
+IF($AQ$5="CO1",IF(AQ36&lt;&gt;"",AQ36,AR36),0)
+IF($AS$5="CO1",IF(AS36&lt;&gt;"",AS36,AT36),0)</f>
        <v/>
      </c>
      <c r="AX36" s="29">
        <f>SUMPRODUCT(($E$5:$P$5="CO2")*(E36:P36))
+SUMPRODUCT(($AA$5:$AL$5="CO2")*(AA36:AL36))
+IF($Q$5="CO2",IF(R36&lt;&gt;"",R36,S36),0)
+IF($S$5="CO2",IF(T36&lt;&gt;"",T36,U36),0)
+IF($U$5="CO2",IF(V36&lt;&gt;"",V36,W36),0)
+IF($W$5="CO2",IF(X36&lt;&gt;"",X36,Y36),0)
+IF($AM$5="CO2",IF(AN36&lt;&gt;"",AN36,AO36),0)
+IF($AO$5="CO2",IF(AP36&lt;&gt;"",AP36,AQ36),0)
+IF($AQ$5="CO2",IF(AR36&lt;&gt;"",AR36,AS36),0)
+IF($AS$5="CO2",IF(AT36&lt;&gt;"",AT36,AU36),0)</f>
        <v/>
      </c>
      <c r="AY36" s="29">
        <f>SUMPRODUCT(($E$5:$P$5="CO3")*(E36:P36))
+SUMPRODUCT(($AA$5:$AL$5="CO3")*(AA36:AL36))
+IF($Q$5="CO3",IF(Q36&lt;&gt;"",Q36,R36),0)
+IF($S$5="CO3",IF(S36&lt;&gt;"",S36,T36),0)
+IF($U$5="CO3",IF(U36&lt;&gt;"",U36,V36),0)
+IF($W$5="CO3",IF(W36&lt;&gt;"",W36,X36),0)
+IF($AM$5="CO3",IF(AM36&lt;&gt;"",AM36,AN36),0)
+IF($AO$5="CO3",IF(AO36&lt;&gt;"",AO36,AP36),0)
+IF($AQ$5="CO3",IF(AQ36&lt;&gt;"",AQ36,AR36),0)
+IF($AS$5="CO3",IF(AS36&lt;&gt;"",AS36,AT36),0)</f>
        <v/>
      </c>
      <c r="AZ36" s="29">
        <f>SUMPRODUCT(($E$5:$P$5="CO4")*(E36:P36))
+SUMPRODUCT(($AA$5:$AL$5="CO4")*(AA36:AL36))
+IF($Q$5="CO4",IF(Q36&lt;&gt;"",Q36,R36),0)
+IF($S$5="CO4",IF(S36&lt;&gt;"",S36,T36),0)
+IF($U$5="CO4",IF(U36&lt;&gt;"",U36,V36),0)
+IF($W$5="CO4",IF(W36&lt;&gt;"",W36,X36),0)
+IF($AM$5="CO4",IF(AM36&lt;&gt;"",AM36,AN36),0)
+IF($AO$5="CO4",IF(AO36&lt;&gt;"",AO36,AP36),0)
+IF($AQ$5="CO4",IF(AQ36&lt;&gt;"",AQ36,AR36),0)
+IF($AS$5="CO4",IF(AS36&lt;&gt;"",AS36,AT36),0)</f>
        <v/>
      </c>
      <c r="BA36" s="29">
        <f>SUMPRODUCT(($E$5:$P$5="CO5")*(E36:P36))
+SUMPRODUCT(($AA$5:$AL$5="CO5")*(AA36:AL36))
+IF($Q$5="CO5",IF(Q36&lt;&gt;"",Q36,R36),0)
+IF($S$5="CO5",IF(S36&lt;&gt;"",S36,T36),0)
+IF($U$5="CO5",IF(U36&lt;&gt;"",U36,V36),0)
+IF($W$5="CO5",IF(W36&lt;&gt;"",W36,X36),0)
+IF($AM$5="CO5",IF(AM36&lt;&gt;"",AM36,AN36),0)
+IF($AO$5="CO5",IF(AO36&lt;&gt;"",AO36,AP36),0)
+IF($AQ$5="CO5",IF(AQ36&lt;&gt;"",AQ36,AR36),0)
+IF($AS$5="CO5",IF(AS36&lt;&gt;"",AS36,AT36),0)</f>
        <v/>
      </c>
      <c r="BB36" s="29">
        <f>SUMPRODUCT(($E$5:$P$5="CO6")*(E36:P36))
+SUMPRODUCT(($AA$5:$AL$5="CO6")*(AA36:AL36))
+IF($Q$5="CO6",IF(Q36&lt;&gt;"",Q36,R36),0)
+IF($S$5="CO6",IF(S36&lt;&gt;"",S36,T36),0)
+IF($U$5="CO6",IF(U36&lt;&gt;"",U36,V36),0)
+IF($W$5="CO6",IF(W36&lt;&gt;"",W36,X36),0)
+IF($AM$5="CO6",IF(AM36&lt;&gt;"",AM36,AN36),0)
+IF($AO$5="CO6",IF(AO36&lt;&gt;"",AO36,AP36),0)
+IF($AQ$5="CO6",IF(AQ36&lt;&gt;"",AQ36,AR36),0)
+IF($AS$5="CO6",IF(AS36&lt;&gt;"",AS36,AT36),0)</f>
        <v/>
      </c>
      <c r="BD36" s="30" t="n">
        <v>12</v>
      </c>
      <c r="BE36" s="30" t="n">
        <v>14</v>
      </c>
      <c r="BF36" s="30" t="n">
        <v>14</v>
      </c>
      <c r="BG36" s="5" t="n"/>
      <c r="BH36" s="5" t="n"/>
      <c r="BI36" s="5" t="n"/>
      <c r="BJ36" s="25">
        <f>SUM(BD36:BI36)</f>
        <v/>
      </c>
      <c r="BL36" s="5" t="n">
        <v>8</v>
      </c>
      <c r="BM36" s="5" t="n">
        <v>8</v>
      </c>
      <c r="BN36" s="5" t="n">
        <v>12</v>
      </c>
      <c r="BO36" s="5" t="n">
        <v>12</v>
      </c>
      <c r="BP36" s="5" t="n"/>
      <c r="BQ36" s="5" t="n"/>
      <c r="BR36" s="33">
        <f>SUM(BL36:BQ36)</f>
        <v/>
      </c>
      <c r="BT36" s="36">
        <f>SUMPRODUCT(($AW$5:$BQ$5="CO1")*AW36:BQ36)</f>
        <v/>
      </c>
      <c r="BU36" s="37">
        <f>SUMPRODUCT(($AW$5:$BR$5="CO2")*AW36:BR36)</f>
        <v/>
      </c>
      <c r="BV36" s="37">
        <f>SUMPRODUCT(($AW$5:$BR$5="CO3")*AW36:BR36)</f>
        <v/>
      </c>
      <c r="BW36" s="37">
        <f>SUMPRODUCT(($AW$5:$BR$5="CO4")*AW36:BR36)</f>
        <v/>
      </c>
      <c r="BX36" s="37">
        <f>SUMPRODUCT(($AW$5:$BR$5="CO5")*AW36:BR36)</f>
        <v/>
      </c>
      <c r="BY36" s="37">
        <f>SUMPRODUCT(($AW$5:$BR$5="CO6")*AW36:BR36)</f>
        <v/>
      </c>
      <c r="BZ36" s="33">
        <f>SUM(BT36:BY36)</f>
        <v/>
      </c>
      <c r="CB36" s="38">
        <f>BT36/$BT$7*100</f>
        <v/>
      </c>
      <c r="CC36" s="38">
        <f>BU36/$BU$7*100</f>
        <v/>
      </c>
      <c r="CD36" s="38">
        <f>BV36/$BV$7*100</f>
        <v/>
      </c>
      <c r="CE36" s="38">
        <f>BW36/$BW$7*100</f>
        <v/>
      </c>
      <c r="CF36" s="38">
        <f>BX36/$BX$7*100</f>
        <v/>
      </c>
      <c r="CG36" s="38">
        <f>BY36/$BY$7*100</f>
        <v/>
      </c>
    </row>
    <row r="37" ht="15.5" customHeight="1">
      <c r="A37" s="43" t="n">
        <v>30</v>
      </c>
      <c r="B37" s="43" t="inlineStr">
        <is>
          <t>YUVAN SANJAY M</t>
        </is>
      </c>
      <c r="C37" s="43" t="inlineStr">
        <is>
          <t>SECTION C</t>
        </is>
      </c>
      <c r="D37" s="4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28">
        <f>SUM(E37:P37)+(IF(Q37&lt;&gt;"",Q37,R37))+(IF(S37&lt;&gt;"",S37,T37))+(IF(U37&lt;&gt;"",U37,V37))+(IF(W37&lt;&gt;"",W37,X37))</f>
        <v/>
      </c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31">
        <f>SUM(AA37:AL37)+(IF(AM37&lt;&gt;"",AM37,AN37))+(IF(AO37&lt;&gt;"",AO37,AP37))+(IF(AQ37&lt;&gt;"",AQ37,AR37))+(IF(AS37&lt;&gt;"",AS37,AT37))</f>
        <v/>
      </c>
      <c r="AW37" s="29">
        <f>SUMPRODUCT(($E$5:$P$5="CO1")*(E37:P37))
+SUMPRODUCT(($AA$5:$AL$5="CO1")*(AA37:AL37))
+IF($Q$5="CO1",IF(Q37&lt;&gt;"",Q37,R37),0)
+IF($S$5="CO1",IF(S37&lt;&gt;"",S37,T37),0)
+IF($U$5="CO1",IF(U37&lt;&gt;"",U37,V37),0)
+IF($W$5="CO1",IF(W37&lt;&gt;"",W37,X37),0)
+IF($AM$5="CO1",IF(AM37&lt;&gt;"",AM37,AN37),0)
+IF($AO$5="CO1",IF(AO37&lt;&gt;"",AO37,AP37),0)
+IF($AQ$5="CO1",IF(AQ37&lt;&gt;"",AQ37,AR37),0)
+IF($AS$5="CO1",IF(AS37&lt;&gt;"",AS37,AT37),0)</f>
        <v/>
      </c>
      <c r="AX37" s="29">
        <f>SUMPRODUCT(($E$5:$P$5="CO2")*(E37:P37))
+SUMPRODUCT(($AA$5:$AL$5="CO2")*(AA37:AL37))
+IF($Q$5="CO2",IF(R37&lt;&gt;"",R37,S37),0)
+IF($S$5="CO2",IF(T37&lt;&gt;"",T37,U37),0)
+IF($U$5="CO2",IF(V37&lt;&gt;"",V37,W37),0)
+IF($W$5="CO2",IF(X37&lt;&gt;"",X37,Y37),0)
+IF($AM$5="CO2",IF(AN37&lt;&gt;"",AN37,AO37),0)
+IF($AO$5="CO2",IF(AP37&lt;&gt;"",AP37,AQ37),0)
+IF($AQ$5="CO2",IF(AR37&lt;&gt;"",AR37,AS37),0)
+IF($AS$5="CO2",IF(AT37&lt;&gt;"",AT37,AU37),0)</f>
        <v/>
      </c>
      <c r="AY37" s="29">
        <f>SUMPRODUCT(($E$5:$P$5="CO3")*(E37:P37))
+SUMPRODUCT(($AA$5:$AL$5="CO3")*(AA37:AL37))
+IF($Q$5="CO3",IF(Q37&lt;&gt;"",Q37,R37),0)
+IF($S$5="CO3",IF(S37&lt;&gt;"",S37,T37),0)
+IF($U$5="CO3",IF(U37&lt;&gt;"",U37,V37),0)
+IF($W$5="CO3",IF(W37&lt;&gt;"",W37,X37),0)
+IF($AM$5="CO3",IF(AM37&lt;&gt;"",AM37,AN37),0)
+IF($AO$5="CO3",IF(AO37&lt;&gt;"",AO37,AP37),0)
+IF($AQ$5="CO3",IF(AQ37&lt;&gt;"",AQ37,AR37),0)
+IF($AS$5="CO3",IF(AS37&lt;&gt;"",AS37,AT37),0)</f>
        <v/>
      </c>
      <c r="AZ37" s="29">
        <f>SUMPRODUCT(($E$5:$P$5="CO4")*(E37:P37))
+SUMPRODUCT(($AA$5:$AL$5="CO4")*(AA37:AL37))
+IF($Q$5="CO4",IF(Q37&lt;&gt;"",Q37,R37),0)
+IF($S$5="CO4",IF(S37&lt;&gt;"",S37,T37),0)
+IF($U$5="CO4",IF(U37&lt;&gt;"",U37,V37),0)
+IF($W$5="CO4",IF(W37&lt;&gt;"",W37,X37),0)
+IF($AM$5="CO4",IF(AM37&lt;&gt;"",AM37,AN37),0)
+IF($AO$5="CO4",IF(AO37&lt;&gt;"",AO37,AP37),0)
+IF($AQ$5="CO4",IF(AQ37&lt;&gt;"",AQ37,AR37),0)
+IF($AS$5="CO4",IF(AS37&lt;&gt;"",AS37,AT37),0)</f>
        <v/>
      </c>
      <c r="BA37" s="29">
        <f>SUMPRODUCT(($E$5:$P$5="CO5")*(E37:P37))
+SUMPRODUCT(($AA$5:$AL$5="CO5")*(AA37:AL37))
+IF($Q$5="CO5",IF(Q37&lt;&gt;"",Q37,R37),0)
+IF($S$5="CO5",IF(S37&lt;&gt;"",S37,T37),0)
+IF($U$5="CO5",IF(U37&lt;&gt;"",U37,V37),0)
+IF($W$5="CO5",IF(W37&lt;&gt;"",W37,X37),0)
+IF($AM$5="CO5",IF(AM37&lt;&gt;"",AM37,AN37),0)
+IF($AO$5="CO5",IF(AO37&lt;&gt;"",AO37,AP37),0)
+IF($AQ$5="CO5",IF(AQ37&lt;&gt;"",AQ37,AR37),0)
+IF($AS$5="CO5",IF(AS37&lt;&gt;"",AS37,AT37),0)</f>
        <v/>
      </c>
      <c r="BB37" s="29">
        <f>SUMPRODUCT(($E$5:$P$5="CO6")*(E37:P37))
+SUMPRODUCT(($AA$5:$AL$5="CO6")*(AA37:AL37))
+IF($Q$5="CO6",IF(Q37&lt;&gt;"",Q37,R37),0)
+IF($S$5="CO6",IF(S37&lt;&gt;"",S37,T37),0)
+IF($U$5="CO6",IF(U37&lt;&gt;"",U37,V37),0)
+IF($W$5="CO6",IF(W37&lt;&gt;"",W37,X37),0)
+IF($AM$5="CO6",IF(AM37&lt;&gt;"",AM37,AN37),0)
+IF($AO$5="CO6",IF(AO37&lt;&gt;"",AO37,AP37),0)
+IF($AQ$5="CO6",IF(AQ37&lt;&gt;"",AQ37,AR37),0)
+IF($AS$5="CO6",IF(AS37&lt;&gt;"",AS37,AT37),0)</f>
        <v/>
      </c>
      <c r="BD37" s="30" t="n">
        <v>12</v>
      </c>
      <c r="BE37" s="30" t="n">
        <v>14</v>
      </c>
      <c r="BF37" s="30" t="n">
        <v>14</v>
      </c>
      <c r="BG37" s="5" t="n"/>
      <c r="BH37" s="5" t="n"/>
      <c r="BI37" s="5" t="n"/>
      <c r="BJ37" s="25">
        <f>SUM(BD37:BI37)</f>
        <v/>
      </c>
      <c r="BL37" s="5" t="n">
        <v>8</v>
      </c>
      <c r="BM37" s="5" t="n">
        <v>8</v>
      </c>
      <c r="BN37" s="5" t="n">
        <v>12</v>
      </c>
      <c r="BO37" s="5" t="n">
        <v>12</v>
      </c>
      <c r="BP37" s="5" t="n"/>
      <c r="BQ37" s="5" t="n"/>
      <c r="BR37" s="33">
        <f>SUM(BL37:BQ37)</f>
        <v/>
      </c>
      <c r="BT37" s="36">
        <f>SUMPRODUCT(($AW$5:$BQ$5="CO1")*AW37:BQ37)</f>
        <v/>
      </c>
      <c r="BU37" s="37">
        <f>SUMPRODUCT(($AW$5:$BR$5="CO2")*AW37:BR37)</f>
        <v/>
      </c>
      <c r="BV37" s="37">
        <f>SUMPRODUCT(($AW$5:$BR$5="CO3")*AW37:BR37)</f>
        <v/>
      </c>
      <c r="BW37" s="37">
        <f>SUMPRODUCT(($AW$5:$BR$5="CO4")*AW37:BR37)</f>
        <v/>
      </c>
      <c r="BX37" s="37">
        <f>SUMPRODUCT(($AW$5:$BR$5="CO5")*AW37:BR37)</f>
        <v/>
      </c>
      <c r="BY37" s="37">
        <f>SUMPRODUCT(($AW$5:$BR$5="CO6")*AW37:BR37)</f>
        <v/>
      </c>
      <c r="BZ37" s="33">
        <f>SUM(BT37:BY37)</f>
        <v/>
      </c>
      <c r="CB37" s="38">
        <f>BT37/$BT$7*100</f>
        <v/>
      </c>
      <c r="CC37" s="38">
        <f>BU37/$BU$7*100</f>
        <v/>
      </c>
      <c r="CD37" s="38">
        <f>BV37/$BV$7*100</f>
        <v/>
      </c>
      <c r="CE37" s="38">
        <f>BW37/$BW$7*100</f>
        <v/>
      </c>
      <c r="CF37" s="38">
        <f>BX37/$BX$7*100</f>
        <v/>
      </c>
      <c r="CG37" s="38">
        <f>BY37/$BY$7*100</f>
        <v/>
      </c>
    </row>
    <row r="38" ht="15.5" customHeight="1">
      <c r="A38" s="43" t="n">
        <v>31</v>
      </c>
      <c r="B38" s="43" t="inlineStr">
        <is>
          <t>ABISHEK N</t>
        </is>
      </c>
      <c r="C38" s="43" t="inlineStr">
        <is>
          <t>SECTION C</t>
        </is>
      </c>
      <c r="D38" s="4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28">
        <f>SUM(E38:P38)+(IF(Q38&lt;&gt;"",Q38,R38))+(IF(S38&lt;&gt;"",S38,T38))+(IF(U38&lt;&gt;"",U38,V38))+(IF(W38&lt;&gt;"",W38,X38))</f>
        <v/>
      </c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31">
        <f>SUM(AA38:AL38)+(IF(AM38&lt;&gt;"",AM38,AN38))+(IF(AO38&lt;&gt;"",AO38,AP38))+(IF(AQ38&lt;&gt;"",AQ38,AR38))+(IF(AS38&lt;&gt;"",AS38,AT38))</f>
        <v/>
      </c>
      <c r="AW38" s="29">
        <f>SUMPRODUCT(($E$5:$P$5="CO1")*(E38:P38))
+SUMPRODUCT(($AA$5:$AL$5="CO1")*(AA38:AL38))
+IF($Q$5="CO1",IF(Q38&lt;&gt;"",Q38,R38),0)
+IF($S$5="CO1",IF(S38&lt;&gt;"",S38,T38),0)
+IF($U$5="CO1",IF(U38&lt;&gt;"",U38,V38),0)
+IF($W$5="CO1",IF(W38&lt;&gt;"",W38,X38),0)
+IF($AM$5="CO1",IF(AM38&lt;&gt;"",AM38,AN38),0)
+IF($AO$5="CO1",IF(AO38&lt;&gt;"",AO38,AP38),0)
+IF($AQ$5="CO1",IF(AQ38&lt;&gt;"",AQ38,AR38),0)
+IF($AS$5="CO1",IF(AS38&lt;&gt;"",AS38,AT38),0)</f>
        <v/>
      </c>
      <c r="AX38" s="29">
        <f>SUMPRODUCT(($E$5:$P$5="CO2")*(E38:P38))
+SUMPRODUCT(($AA$5:$AL$5="CO2")*(AA38:AL38))
+IF($Q$5="CO2",IF(R38&lt;&gt;"",R38,S38),0)
+IF($S$5="CO2",IF(T38&lt;&gt;"",T38,U38),0)
+IF($U$5="CO2",IF(V38&lt;&gt;"",V38,W38),0)
+IF($W$5="CO2",IF(X38&lt;&gt;"",X38,Y38),0)
+IF($AM$5="CO2",IF(AN38&lt;&gt;"",AN38,AO38),0)
+IF($AO$5="CO2",IF(AP38&lt;&gt;"",AP38,AQ38),0)
+IF($AQ$5="CO2",IF(AR38&lt;&gt;"",AR38,AS38),0)
+IF($AS$5="CO2",IF(AT38&lt;&gt;"",AT38,AU38),0)</f>
        <v/>
      </c>
      <c r="AY38" s="29">
        <f>SUMPRODUCT(($E$5:$P$5="CO3")*(E38:P38))
+SUMPRODUCT(($AA$5:$AL$5="CO3")*(AA38:AL38))
+IF($Q$5="CO3",IF(Q38&lt;&gt;"",Q38,R38),0)
+IF($S$5="CO3",IF(S38&lt;&gt;"",S38,T38),0)
+IF($U$5="CO3",IF(U38&lt;&gt;"",U38,V38),0)
+IF($W$5="CO3",IF(W38&lt;&gt;"",W38,X38),0)
+IF($AM$5="CO3",IF(AM38&lt;&gt;"",AM38,AN38),0)
+IF($AO$5="CO3",IF(AO38&lt;&gt;"",AO38,AP38),0)
+IF($AQ$5="CO3",IF(AQ38&lt;&gt;"",AQ38,AR38),0)
+IF($AS$5="CO3",IF(AS38&lt;&gt;"",AS38,AT38),0)</f>
        <v/>
      </c>
      <c r="AZ38" s="29">
        <f>SUMPRODUCT(($E$5:$P$5="CO4")*(E38:P38))
+SUMPRODUCT(($AA$5:$AL$5="CO4")*(AA38:AL38))
+IF($Q$5="CO4",IF(Q38&lt;&gt;"",Q38,R38),0)
+IF($S$5="CO4",IF(S38&lt;&gt;"",S38,T38),0)
+IF($U$5="CO4",IF(U38&lt;&gt;"",U38,V38),0)
+IF($W$5="CO4",IF(W38&lt;&gt;"",W38,X38),0)
+IF($AM$5="CO4",IF(AM38&lt;&gt;"",AM38,AN38),0)
+IF($AO$5="CO4",IF(AO38&lt;&gt;"",AO38,AP38),0)
+IF($AQ$5="CO4",IF(AQ38&lt;&gt;"",AQ38,AR38),0)
+IF($AS$5="CO4",IF(AS38&lt;&gt;"",AS38,AT38),0)</f>
        <v/>
      </c>
      <c r="BA38" s="29">
        <f>SUMPRODUCT(($E$5:$P$5="CO5")*(E38:P38))
+SUMPRODUCT(($AA$5:$AL$5="CO5")*(AA38:AL38))
+IF($Q$5="CO5",IF(Q38&lt;&gt;"",Q38,R38),0)
+IF($S$5="CO5",IF(S38&lt;&gt;"",S38,T38),0)
+IF($U$5="CO5",IF(U38&lt;&gt;"",U38,V38),0)
+IF($W$5="CO5",IF(W38&lt;&gt;"",W38,X38),0)
+IF($AM$5="CO5",IF(AM38&lt;&gt;"",AM38,AN38),0)
+IF($AO$5="CO5",IF(AO38&lt;&gt;"",AO38,AP38),0)
+IF($AQ$5="CO5",IF(AQ38&lt;&gt;"",AQ38,AR38),0)
+IF($AS$5="CO5",IF(AS38&lt;&gt;"",AS38,AT38),0)</f>
        <v/>
      </c>
      <c r="BB38" s="29">
        <f>SUMPRODUCT(($E$5:$P$5="CO6")*(E38:P38))
+SUMPRODUCT(($AA$5:$AL$5="CO6")*(AA38:AL38))
+IF($Q$5="CO6",IF(Q38&lt;&gt;"",Q38,R38),0)
+IF($S$5="CO6",IF(S38&lt;&gt;"",S38,T38),0)
+IF($U$5="CO6",IF(U38&lt;&gt;"",U38,V38),0)
+IF($W$5="CO6",IF(W38&lt;&gt;"",W38,X38),0)
+IF($AM$5="CO6",IF(AM38&lt;&gt;"",AM38,AN38),0)
+IF($AO$5="CO6",IF(AO38&lt;&gt;"",AO38,AP38),0)
+IF($AQ$5="CO6",IF(AQ38&lt;&gt;"",AQ38,AR38),0)
+IF($AS$5="CO6",IF(AS38&lt;&gt;"",AS38,AT38),0)</f>
        <v/>
      </c>
      <c r="BD38" s="30" t="n">
        <v>12</v>
      </c>
      <c r="BE38" s="30" t="n">
        <v>14</v>
      </c>
      <c r="BF38" s="30" t="n">
        <v>14</v>
      </c>
      <c r="BG38" s="5" t="n"/>
      <c r="BH38" s="5" t="n"/>
      <c r="BI38" s="5" t="n"/>
      <c r="BJ38" s="25">
        <f>SUM(BD38:BI38)</f>
        <v/>
      </c>
      <c r="BL38" s="5" t="n">
        <v>8</v>
      </c>
      <c r="BM38" s="5" t="n">
        <v>8</v>
      </c>
      <c r="BN38" s="5" t="n">
        <v>12</v>
      </c>
      <c r="BO38" s="5" t="n">
        <v>12</v>
      </c>
      <c r="BP38" s="5" t="n"/>
      <c r="BQ38" s="5" t="n"/>
      <c r="BR38" s="33">
        <f>SUM(BL38:BQ38)</f>
        <v/>
      </c>
      <c r="BT38" s="36">
        <f>SUMPRODUCT(($AW$5:$BQ$5="CO1")*AW38:BQ38)</f>
        <v/>
      </c>
      <c r="BU38" s="37">
        <f>SUMPRODUCT(($AW$5:$BR$5="CO2")*AW38:BR38)</f>
        <v/>
      </c>
      <c r="BV38" s="37">
        <f>SUMPRODUCT(($AW$5:$BR$5="CO3")*AW38:BR38)</f>
        <v/>
      </c>
      <c r="BW38" s="37">
        <f>SUMPRODUCT(($AW$5:$BR$5="CO4")*AW38:BR38)</f>
        <v/>
      </c>
      <c r="BX38" s="37">
        <f>SUMPRODUCT(($AW$5:$BR$5="CO5")*AW38:BR38)</f>
        <v/>
      </c>
      <c r="BY38" s="37">
        <f>SUMPRODUCT(($AW$5:$BR$5="CO6")*AW38:BR38)</f>
        <v/>
      </c>
      <c r="BZ38" s="33">
        <f>SUM(BT38:BY38)</f>
        <v/>
      </c>
      <c r="CB38" s="38">
        <f>BT38/$BT$7*100</f>
        <v/>
      </c>
      <c r="CC38" s="38">
        <f>BU38/$BU$7*100</f>
        <v/>
      </c>
      <c r="CD38" s="38">
        <f>BV38/$BV$7*100</f>
        <v/>
      </c>
      <c r="CE38" s="38">
        <f>BW38/$BW$7*100</f>
        <v/>
      </c>
      <c r="CF38" s="38">
        <f>BX38/$BX$7*100</f>
        <v/>
      </c>
      <c r="CG38" s="38">
        <f>BY38/$BY$7*100</f>
        <v/>
      </c>
    </row>
    <row r="39" ht="15.5" customHeight="1">
      <c r="A39" s="43" t="n">
        <v>32</v>
      </c>
      <c r="B39" s="43" t="inlineStr">
        <is>
          <t>HARISH G .</t>
        </is>
      </c>
      <c r="C39" s="43" t="inlineStr">
        <is>
          <t>SECTION C</t>
        </is>
      </c>
      <c r="D39" s="4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28">
        <f>SUM(E39:P39)+(IF(Q39&lt;&gt;"",Q39,R39))+(IF(S39&lt;&gt;"",S39,T39))+(IF(U39&lt;&gt;"",U39,V39))+(IF(W39&lt;&gt;"",W39,X39))</f>
        <v/>
      </c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31">
        <f>SUM(AA39:AL39)+(IF(AM39&lt;&gt;"",AM39,AN39))+(IF(AO39&lt;&gt;"",AO39,AP39))+(IF(AQ39&lt;&gt;"",AQ39,AR39))+(IF(AS39&lt;&gt;"",AS39,AT39))</f>
        <v/>
      </c>
      <c r="AW39" s="29">
        <f>SUMPRODUCT(($E$5:$P$5="CO1")*(E39:P39))
+SUMPRODUCT(($AA$5:$AL$5="CO1")*(AA39:AL39))
+IF($Q$5="CO1",IF(Q39&lt;&gt;"",Q39,R39),0)
+IF($S$5="CO1",IF(S39&lt;&gt;"",S39,T39),0)
+IF($U$5="CO1",IF(U39&lt;&gt;"",U39,V39),0)
+IF($W$5="CO1",IF(W39&lt;&gt;"",W39,X39),0)
+IF($AM$5="CO1",IF(AM39&lt;&gt;"",AM39,AN39),0)
+IF($AO$5="CO1",IF(AO39&lt;&gt;"",AO39,AP39),0)
+IF($AQ$5="CO1",IF(AQ39&lt;&gt;"",AQ39,AR39),0)
+IF($AS$5="CO1",IF(AS39&lt;&gt;"",AS39,AT39),0)</f>
        <v/>
      </c>
      <c r="AX39" s="29">
        <f>SUMPRODUCT(($E$5:$P$5="CO2")*(E39:P39))
+SUMPRODUCT(($AA$5:$AL$5="CO2")*(AA39:AL39))
+IF($Q$5="CO2",IF(R39&lt;&gt;"",R39,S39),0)
+IF($S$5="CO2",IF(T39&lt;&gt;"",T39,U39),0)
+IF($U$5="CO2",IF(V39&lt;&gt;"",V39,W39),0)
+IF($W$5="CO2",IF(X39&lt;&gt;"",X39,Y39),0)
+IF($AM$5="CO2",IF(AN39&lt;&gt;"",AN39,AO39),0)
+IF($AO$5="CO2",IF(AP39&lt;&gt;"",AP39,AQ39),0)
+IF($AQ$5="CO2",IF(AR39&lt;&gt;"",AR39,AS39),0)
+IF($AS$5="CO2",IF(AT39&lt;&gt;"",AT39,AU39),0)</f>
        <v/>
      </c>
      <c r="AY39" s="29">
        <f>SUMPRODUCT(($E$5:$P$5="CO3")*(E39:P39))
+SUMPRODUCT(($AA$5:$AL$5="CO3")*(AA39:AL39))
+IF($Q$5="CO3",IF(Q39&lt;&gt;"",Q39,R39),0)
+IF($S$5="CO3",IF(S39&lt;&gt;"",S39,T39),0)
+IF($U$5="CO3",IF(U39&lt;&gt;"",U39,V39),0)
+IF($W$5="CO3",IF(W39&lt;&gt;"",W39,X39),0)
+IF($AM$5="CO3",IF(AM39&lt;&gt;"",AM39,AN39),0)
+IF($AO$5="CO3",IF(AO39&lt;&gt;"",AO39,AP39),0)
+IF($AQ$5="CO3",IF(AQ39&lt;&gt;"",AQ39,AR39),0)
+IF($AS$5="CO3",IF(AS39&lt;&gt;"",AS39,AT39),0)</f>
        <v/>
      </c>
      <c r="AZ39" s="29">
        <f>SUMPRODUCT(($E$5:$P$5="CO4")*(E39:P39))
+SUMPRODUCT(($AA$5:$AL$5="CO4")*(AA39:AL39))
+IF($Q$5="CO4",IF(Q39&lt;&gt;"",Q39,R39),0)
+IF($S$5="CO4",IF(S39&lt;&gt;"",S39,T39),0)
+IF($U$5="CO4",IF(U39&lt;&gt;"",U39,V39),0)
+IF($W$5="CO4",IF(W39&lt;&gt;"",W39,X39),0)
+IF($AM$5="CO4",IF(AM39&lt;&gt;"",AM39,AN39),0)
+IF($AO$5="CO4",IF(AO39&lt;&gt;"",AO39,AP39),0)
+IF($AQ$5="CO4",IF(AQ39&lt;&gt;"",AQ39,AR39),0)
+IF($AS$5="CO4",IF(AS39&lt;&gt;"",AS39,AT39),0)</f>
        <v/>
      </c>
      <c r="BA39" s="29">
        <f>SUMPRODUCT(($E$5:$P$5="CO5")*(E39:P39))
+SUMPRODUCT(($AA$5:$AL$5="CO5")*(AA39:AL39))
+IF($Q$5="CO5",IF(Q39&lt;&gt;"",Q39,R39),0)
+IF($S$5="CO5",IF(S39&lt;&gt;"",S39,T39),0)
+IF($U$5="CO5",IF(U39&lt;&gt;"",U39,V39),0)
+IF($W$5="CO5",IF(W39&lt;&gt;"",W39,X39),0)
+IF($AM$5="CO5",IF(AM39&lt;&gt;"",AM39,AN39),0)
+IF($AO$5="CO5",IF(AO39&lt;&gt;"",AO39,AP39),0)
+IF($AQ$5="CO5",IF(AQ39&lt;&gt;"",AQ39,AR39),0)
+IF($AS$5="CO5",IF(AS39&lt;&gt;"",AS39,AT39),0)</f>
        <v/>
      </c>
      <c r="BB39" s="29">
        <f>SUMPRODUCT(($E$5:$P$5="CO6")*(E39:P39))
+SUMPRODUCT(($AA$5:$AL$5="CO6")*(AA39:AL39))
+IF($Q$5="CO6",IF(Q39&lt;&gt;"",Q39,R39),0)
+IF($S$5="CO6",IF(S39&lt;&gt;"",S39,T39),0)
+IF($U$5="CO6",IF(U39&lt;&gt;"",U39,V39),0)
+IF($W$5="CO6",IF(W39&lt;&gt;"",W39,X39),0)
+IF($AM$5="CO6",IF(AM39&lt;&gt;"",AM39,AN39),0)
+IF($AO$5="CO6",IF(AO39&lt;&gt;"",AO39,AP39),0)
+IF($AQ$5="CO6",IF(AQ39&lt;&gt;"",AQ39,AR39),0)
+IF($AS$5="CO6",IF(AS39&lt;&gt;"",AS39,AT39),0)</f>
        <v/>
      </c>
      <c r="BD39" s="30" t="n">
        <v>12</v>
      </c>
      <c r="BE39" s="30" t="n">
        <v>14</v>
      </c>
      <c r="BF39" s="30" t="n">
        <v>14</v>
      </c>
      <c r="BG39" s="5" t="n"/>
      <c r="BH39" s="5" t="n"/>
      <c r="BI39" s="5" t="n"/>
      <c r="BJ39" s="25">
        <f>SUM(BD39:BI39)</f>
        <v/>
      </c>
      <c r="BL39" s="5" t="n">
        <v>8</v>
      </c>
      <c r="BM39" s="5" t="n">
        <v>8</v>
      </c>
      <c r="BN39" s="5" t="n">
        <v>12</v>
      </c>
      <c r="BO39" s="5" t="n">
        <v>12</v>
      </c>
      <c r="BP39" s="5" t="n"/>
      <c r="BQ39" s="5" t="n"/>
      <c r="BR39" s="33">
        <f>SUM(BL39:BQ39)</f>
        <v/>
      </c>
      <c r="BT39" s="36">
        <f>SUMPRODUCT(($AW$5:$BQ$5="CO1")*AW39:BQ39)</f>
        <v/>
      </c>
      <c r="BU39" s="37">
        <f>SUMPRODUCT(($AW$5:$BR$5="CO2")*AW39:BR39)</f>
        <v/>
      </c>
      <c r="BV39" s="37">
        <f>SUMPRODUCT(($AW$5:$BR$5="CO3")*AW39:BR39)</f>
        <v/>
      </c>
      <c r="BW39" s="37">
        <f>SUMPRODUCT(($AW$5:$BR$5="CO4")*AW39:BR39)</f>
        <v/>
      </c>
      <c r="BX39" s="37">
        <f>SUMPRODUCT(($AW$5:$BR$5="CO5")*AW39:BR39)</f>
        <v/>
      </c>
      <c r="BY39" s="37">
        <f>SUMPRODUCT(($AW$5:$BR$5="CO6")*AW39:BR39)</f>
        <v/>
      </c>
      <c r="BZ39" s="33">
        <f>SUM(BT39:BY39)</f>
        <v/>
      </c>
      <c r="CB39" s="38">
        <f>BT39/$BT$7*100</f>
        <v/>
      </c>
      <c r="CC39" s="38">
        <f>BU39/$BU$7*100</f>
        <v/>
      </c>
      <c r="CD39" s="38">
        <f>BV39/$BV$7*100</f>
        <v/>
      </c>
      <c r="CE39" s="38">
        <f>BW39/$BW$7*100</f>
        <v/>
      </c>
      <c r="CF39" s="38">
        <f>BX39/$BX$7*100</f>
        <v/>
      </c>
      <c r="CG39" s="38">
        <f>BY39/$BY$7*100</f>
        <v/>
      </c>
    </row>
    <row r="40" ht="15.5" customHeight="1">
      <c r="A40" s="43" t="n">
        <v>33</v>
      </c>
      <c r="B40" s="43" t="inlineStr">
        <is>
          <t>NAGASARAVANA S</t>
        </is>
      </c>
      <c r="C40" s="43" t="inlineStr">
        <is>
          <t>SECTION C</t>
        </is>
      </c>
      <c r="D40" s="4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28">
        <f>SUM(E40:P40)+(IF(Q40&lt;&gt;"",Q40,R40))+(IF(S40&lt;&gt;"",S40,T40))+(IF(U40&lt;&gt;"",U40,V40))+(IF(W40&lt;&gt;"",W40,X40))</f>
        <v/>
      </c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31">
        <f>SUM(AA40:AL40)+(IF(AM40&lt;&gt;"",AM40,AN40))+(IF(AO40&lt;&gt;"",AO40,AP40))+(IF(AQ40&lt;&gt;"",AQ40,AR40))+(IF(AS40&lt;&gt;"",AS40,AT40))</f>
        <v/>
      </c>
      <c r="AW40" s="29">
        <f>SUMPRODUCT(($E$5:$P$5="CO1")*(E40:P40))
+SUMPRODUCT(($AA$5:$AL$5="CO1")*(AA40:AL40))
+IF($Q$5="CO1",IF(Q40&lt;&gt;"",Q40,R40),0)
+IF($S$5="CO1",IF(S40&lt;&gt;"",S40,T40),0)
+IF($U$5="CO1",IF(U40&lt;&gt;"",U40,V40),0)
+IF($W$5="CO1",IF(W40&lt;&gt;"",W40,X40),0)
+IF($AM$5="CO1",IF(AM40&lt;&gt;"",AM40,AN40),0)
+IF($AO$5="CO1",IF(AO40&lt;&gt;"",AO40,AP40),0)
+IF($AQ$5="CO1",IF(AQ40&lt;&gt;"",AQ40,AR40),0)
+IF($AS$5="CO1",IF(AS40&lt;&gt;"",AS40,AT40),0)</f>
        <v/>
      </c>
      <c r="AX40" s="29">
        <f>SUMPRODUCT(($E$5:$P$5="CO2")*(E40:P40))
+SUMPRODUCT(($AA$5:$AL$5="CO2")*(AA40:AL40))
+IF($Q$5="CO2",IF(R40&lt;&gt;"",R40,S40),0)
+IF($S$5="CO2",IF(T40&lt;&gt;"",T40,U40),0)
+IF($U$5="CO2",IF(V40&lt;&gt;"",V40,W40),0)
+IF($W$5="CO2",IF(X40&lt;&gt;"",X40,Y40),0)
+IF($AM$5="CO2",IF(AN40&lt;&gt;"",AN40,AO40),0)
+IF($AO$5="CO2",IF(AP40&lt;&gt;"",AP40,AQ40),0)
+IF($AQ$5="CO2",IF(AR40&lt;&gt;"",AR40,AS40),0)
+IF($AS$5="CO2",IF(AT40&lt;&gt;"",AT40,AU40),0)</f>
        <v/>
      </c>
      <c r="AY40" s="29">
        <f>SUMPRODUCT(($E$5:$P$5="CO3")*(E40:P40))
+SUMPRODUCT(($AA$5:$AL$5="CO3")*(AA40:AL40))
+IF($Q$5="CO3",IF(Q40&lt;&gt;"",Q40,R40),0)
+IF($S$5="CO3",IF(S40&lt;&gt;"",S40,T40),0)
+IF($U$5="CO3",IF(U40&lt;&gt;"",U40,V40),0)
+IF($W$5="CO3",IF(W40&lt;&gt;"",W40,X40),0)
+IF($AM$5="CO3",IF(AM40&lt;&gt;"",AM40,AN40),0)
+IF($AO$5="CO3",IF(AO40&lt;&gt;"",AO40,AP40),0)
+IF($AQ$5="CO3",IF(AQ40&lt;&gt;"",AQ40,AR40),0)
+IF($AS$5="CO3",IF(AS40&lt;&gt;"",AS40,AT40),0)</f>
        <v/>
      </c>
      <c r="AZ40" s="29">
        <f>SUMPRODUCT(($E$5:$P$5="CO4")*(E40:P40))
+SUMPRODUCT(($AA$5:$AL$5="CO4")*(AA40:AL40))
+IF($Q$5="CO4",IF(Q40&lt;&gt;"",Q40,R40),0)
+IF($S$5="CO4",IF(S40&lt;&gt;"",S40,T40),0)
+IF($U$5="CO4",IF(U40&lt;&gt;"",U40,V40),0)
+IF($W$5="CO4",IF(W40&lt;&gt;"",W40,X40),0)
+IF($AM$5="CO4",IF(AM40&lt;&gt;"",AM40,AN40),0)
+IF($AO$5="CO4",IF(AO40&lt;&gt;"",AO40,AP40),0)
+IF($AQ$5="CO4",IF(AQ40&lt;&gt;"",AQ40,AR40),0)
+IF($AS$5="CO4",IF(AS40&lt;&gt;"",AS40,AT40),0)</f>
        <v/>
      </c>
      <c r="BA40" s="29">
        <f>SUMPRODUCT(($E$5:$P$5="CO5")*(E40:P40))
+SUMPRODUCT(($AA$5:$AL$5="CO5")*(AA40:AL40))
+IF($Q$5="CO5",IF(Q40&lt;&gt;"",Q40,R40),0)
+IF($S$5="CO5",IF(S40&lt;&gt;"",S40,T40),0)
+IF($U$5="CO5",IF(U40&lt;&gt;"",U40,V40),0)
+IF($W$5="CO5",IF(W40&lt;&gt;"",W40,X40),0)
+IF($AM$5="CO5",IF(AM40&lt;&gt;"",AM40,AN40),0)
+IF($AO$5="CO5",IF(AO40&lt;&gt;"",AO40,AP40),0)
+IF($AQ$5="CO5",IF(AQ40&lt;&gt;"",AQ40,AR40),0)
+IF($AS$5="CO5",IF(AS40&lt;&gt;"",AS40,AT40),0)</f>
        <v/>
      </c>
      <c r="BB40" s="29">
        <f>SUMPRODUCT(($E$5:$P$5="CO6")*(E40:P40))
+SUMPRODUCT(($AA$5:$AL$5="CO6")*(AA40:AL40))
+IF($Q$5="CO6",IF(Q40&lt;&gt;"",Q40,R40),0)
+IF($S$5="CO6",IF(S40&lt;&gt;"",S40,T40),0)
+IF($U$5="CO6",IF(U40&lt;&gt;"",U40,V40),0)
+IF($W$5="CO6",IF(W40&lt;&gt;"",W40,X40),0)
+IF($AM$5="CO6",IF(AM40&lt;&gt;"",AM40,AN40),0)
+IF($AO$5="CO6",IF(AO40&lt;&gt;"",AO40,AP40),0)
+IF($AQ$5="CO6",IF(AQ40&lt;&gt;"",AQ40,AR40),0)
+IF($AS$5="CO6",IF(AS40&lt;&gt;"",AS40,AT40),0)</f>
        <v/>
      </c>
      <c r="BD40" s="30" t="n">
        <v>12</v>
      </c>
      <c r="BE40" s="30" t="n">
        <v>14</v>
      </c>
      <c r="BF40" s="30" t="n">
        <v>14</v>
      </c>
      <c r="BG40" s="5" t="n"/>
      <c r="BH40" s="5" t="n"/>
      <c r="BI40" s="5" t="n"/>
      <c r="BJ40" s="25">
        <f>SUM(BD40:BI40)</f>
        <v/>
      </c>
      <c r="BL40" s="5" t="n">
        <v>8</v>
      </c>
      <c r="BM40" s="5" t="n">
        <v>8</v>
      </c>
      <c r="BN40" s="5" t="n">
        <v>12</v>
      </c>
      <c r="BO40" s="5" t="n">
        <v>12</v>
      </c>
      <c r="BP40" s="5" t="n"/>
      <c r="BQ40" s="5" t="n"/>
      <c r="BR40" s="33">
        <f>SUM(BL40:BQ40)</f>
        <v/>
      </c>
      <c r="BT40" s="36">
        <f>SUMPRODUCT(($AW$5:$BQ$5="CO1")*AW40:BQ40)</f>
        <v/>
      </c>
      <c r="BU40" s="37">
        <f>SUMPRODUCT(($AW$5:$BR$5="CO2")*AW40:BR40)</f>
        <v/>
      </c>
      <c r="BV40" s="37">
        <f>SUMPRODUCT(($AW$5:$BR$5="CO3")*AW40:BR40)</f>
        <v/>
      </c>
      <c r="BW40" s="37">
        <f>SUMPRODUCT(($AW$5:$BR$5="CO4")*AW40:BR40)</f>
        <v/>
      </c>
      <c r="BX40" s="37">
        <f>SUMPRODUCT(($AW$5:$BR$5="CO5")*AW40:BR40)</f>
        <v/>
      </c>
      <c r="BY40" s="37">
        <f>SUMPRODUCT(($AW$5:$BR$5="CO6")*AW40:BR40)</f>
        <v/>
      </c>
      <c r="BZ40" s="33">
        <f>SUM(BT40:BY40)</f>
        <v/>
      </c>
      <c r="CB40" s="38">
        <f>BT40/$BT$7*100</f>
        <v/>
      </c>
      <c r="CC40" s="38">
        <f>BU40/$BU$7*100</f>
        <v/>
      </c>
      <c r="CD40" s="38">
        <f>BV40/$BV$7*100</f>
        <v/>
      </c>
      <c r="CE40" s="38">
        <f>BW40/$BW$7*100</f>
        <v/>
      </c>
      <c r="CF40" s="38">
        <f>BX40/$BX$7*100</f>
        <v/>
      </c>
      <c r="CG40" s="38">
        <f>BY40/$BY$7*100</f>
        <v/>
      </c>
    </row>
    <row r="41" ht="15.5" customHeight="1">
      <c r="A41" s="43" t="n">
        <v>34</v>
      </c>
      <c r="B41" s="43" t="inlineStr">
        <is>
          <t>SAI SANJAY SHANMUGAM G</t>
        </is>
      </c>
      <c r="C41" s="43" t="inlineStr">
        <is>
          <t>SECTION C</t>
        </is>
      </c>
      <c r="D41" s="4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28">
        <f>SUM(E41:P41)+(IF(Q41&lt;&gt;"",Q41,R41))+(IF(S41&lt;&gt;"",S41,T41))+(IF(U41&lt;&gt;"",U41,V41))+(IF(W41&lt;&gt;"",W41,X41))</f>
        <v/>
      </c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31">
        <f>SUM(AA41:AL41)+(IF(AM41&lt;&gt;"",AM41,AN41))+(IF(AO41&lt;&gt;"",AO41,AP41))+(IF(AQ41&lt;&gt;"",AQ41,AR41))+(IF(AS41&lt;&gt;"",AS41,AT41))</f>
        <v/>
      </c>
      <c r="AW41" s="29">
        <f>SUMPRODUCT(($E$5:$P$5="CO1")*(E41:P41))
+SUMPRODUCT(($AA$5:$AL$5="CO1")*(AA41:AL41))
+IF($Q$5="CO1",IF(Q41&lt;&gt;"",Q41,R41),0)
+IF($S$5="CO1",IF(S41&lt;&gt;"",S41,T41),0)
+IF($U$5="CO1",IF(U41&lt;&gt;"",U41,V41),0)
+IF($W$5="CO1",IF(W41&lt;&gt;"",W41,X41),0)
+IF($AM$5="CO1",IF(AM41&lt;&gt;"",AM41,AN41),0)
+IF($AO$5="CO1",IF(AO41&lt;&gt;"",AO41,AP41),0)
+IF($AQ$5="CO1",IF(AQ41&lt;&gt;"",AQ41,AR41),0)
+IF($AS$5="CO1",IF(AS41&lt;&gt;"",AS41,AT41),0)</f>
        <v/>
      </c>
      <c r="AX41" s="29">
        <f>SUMPRODUCT(($E$5:$P$5="CO2")*(E41:P41))
+SUMPRODUCT(($AA$5:$AL$5="CO2")*(AA41:AL41))
+IF($Q$5="CO2",IF(R41&lt;&gt;"",R41,S41),0)
+IF($S$5="CO2",IF(T41&lt;&gt;"",T41,U41),0)
+IF($U$5="CO2",IF(V41&lt;&gt;"",V41,W41),0)
+IF($W$5="CO2",IF(X41&lt;&gt;"",X41,Y41),0)
+IF($AM$5="CO2",IF(AN41&lt;&gt;"",AN41,AO41),0)
+IF($AO$5="CO2",IF(AP41&lt;&gt;"",AP41,AQ41),0)
+IF($AQ$5="CO2",IF(AR41&lt;&gt;"",AR41,AS41),0)
+IF($AS$5="CO2",IF(AT41&lt;&gt;"",AT41,AU41),0)</f>
        <v/>
      </c>
      <c r="AY41" s="29">
        <f>SUMPRODUCT(($E$5:$P$5="CO3")*(E41:P41))
+SUMPRODUCT(($AA$5:$AL$5="CO3")*(AA41:AL41))
+IF($Q$5="CO3",IF(Q41&lt;&gt;"",Q41,R41),0)
+IF($S$5="CO3",IF(S41&lt;&gt;"",S41,T41),0)
+IF($U$5="CO3",IF(U41&lt;&gt;"",U41,V41),0)
+IF($W$5="CO3",IF(W41&lt;&gt;"",W41,X41),0)
+IF($AM$5="CO3",IF(AM41&lt;&gt;"",AM41,AN41),0)
+IF($AO$5="CO3",IF(AO41&lt;&gt;"",AO41,AP41),0)
+IF($AQ$5="CO3",IF(AQ41&lt;&gt;"",AQ41,AR41),0)
+IF($AS$5="CO3",IF(AS41&lt;&gt;"",AS41,AT41),0)</f>
        <v/>
      </c>
      <c r="AZ41" s="29">
        <f>SUMPRODUCT(($E$5:$P$5="CO4")*(E41:P41))
+SUMPRODUCT(($AA$5:$AL$5="CO4")*(AA41:AL41))
+IF($Q$5="CO4",IF(Q41&lt;&gt;"",Q41,R41),0)
+IF($S$5="CO4",IF(S41&lt;&gt;"",S41,T41),0)
+IF($U$5="CO4",IF(U41&lt;&gt;"",U41,V41),0)
+IF($W$5="CO4",IF(W41&lt;&gt;"",W41,X41),0)
+IF($AM$5="CO4",IF(AM41&lt;&gt;"",AM41,AN41),0)
+IF($AO$5="CO4",IF(AO41&lt;&gt;"",AO41,AP41),0)
+IF($AQ$5="CO4",IF(AQ41&lt;&gt;"",AQ41,AR41),0)
+IF($AS$5="CO4",IF(AS41&lt;&gt;"",AS41,AT41),0)</f>
        <v/>
      </c>
      <c r="BA41" s="29">
        <f>SUMPRODUCT(($E$5:$P$5="CO5")*(E41:P41))
+SUMPRODUCT(($AA$5:$AL$5="CO5")*(AA41:AL41))
+IF($Q$5="CO5",IF(Q41&lt;&gt;"",Q41,R41),0)
+IF($S$5="CO5",IF(S41&lt;&gt;"",S41,T41),0)
+IF($U$5="CO5",IF(U41&lt;&gt;"",U41,V41),0)
+IF($W$5="CO5",IF(W41&lt;&gt;"",W41,X41),0)
+IF($AM$5="CO5",IF(AM41&lt;&gt;"",AM41,AN41),0)
+IF($AO$5="CO5",IF(AO41&lt;&gt;"",AO41,AP41),0)
+IF($AQ$5="CO5",IF(AQ41&lt;&gt;"",AQ41,AR41),0)
+IF($AS$5="CO5",IF(AS41&lt;&gt;"",AS41,AT41),0)</f>
        <v/>
      </c>
      <c r="BB41" s="29">
        <f>SUMPRODUCT(($E$5:$P$5="CO6")*(E41:P41))
+SUMPRODUCT(($AA$5:$AL$5="CO6")*(AA41:AL41))
+IF($Q$5="CO6",IF(Q41&lt;&gt;"",Q41,R41),0)
+IF($S$5="CO6",IF(S41&lt;&gt;"",S41,T41),0)
+IF($U$5="CO6",IF(U41&lt;&gt;"",U41,V41),0)
+IF($W$5="CO6",IF(W41&lt;&gt;"",W41,X41),0)
+IF($AM$5="CO6",IF(AM41&lt;&gt;"",AM41,AN41),0)
+IF($AO$5="CO6",IF(AO41&lt;&gt;"",AO41,AP41),0)
+IF($AQ$5="CO6",IF(AQ41&lt;&gt;"",AQ41,AR41),0)
+IF($AS$5="CO6",IF(AS41&lt;&gt;"",AS41,AT41),0)</f>
        <v/>
      </c>
      <c r="BD41" s="30" t="n">
        <v>12</v>
      </c>
      <c r="BE41" s="30" t="n">
        <v>14</v>
      </c>
      <c r="BF41" s="30" t="n">
        <v>14</v>
      </c>
      <c r="BG41" s="5" t="n"/>
      <c r="BH41" s="5" t="n"/>
      <c r="BI41" s="5" t="n"/>
      <c r="BJ41" s="25">
        <f>SUM(BD41:BI41)</f>
        <v/>
      </c>
      <c r="BL41" s="5" t="n">
        <v>8</v>
      </c>
      <c r="BM41" s="5" t="n">
        <v>8</v>
      </c>
      <c r="BN41" s="5" t="n">
        <v>12</v>
      </c>
      <c r="BO41" s="5" t="n">
        <v>12</v>
      </c>
      <c r="BP41" s="5" t="n"/>
      <c r="BQ41" s="5" t="n"/>
      <c r="BR41" s="33">
        <f>SUM(BL41:BQ41)</f>
        <v/>
      </c>
      <c r="BT41" s="36">
        <f>SUMPRODUCT(($AW$5:$BQ$5="CO1")*AW41:BQ41)</f>
        <v/>
      </c>
      <c r="BU41" s="37">
        <f>SUMPRODUCT(($AW$5:$BR$5="CO2")*AW41:BR41)</f>
        <v/>
      </c>
      <c r="BV41" s="37">
        <f>SUMPRODUCT(($AW$5:$BR$5="CO3")*AW41:BR41)</f>
        <v/>
      </c>
      <c r="BW41" s="37">
        <f>SUMPRODUCT(($AW$5:$BR$5="CO4")*AW41:BR41)</f>
        <v/>
      </c>
      <c r="BX41" s="37">
        <f>SUMPRODUCT(($AW$5:$BR$5="CO5")*AW41:BR41)</f>
        <v/>
      </c>
      <c r="BY41" s="37">
        <f>SUMPRODUCT(($AW$5:$BR$5="CO6")*AW41:BR41)</f>
        <v/>
      </c>
      <c r="BZ41" s="33">
        <f>SUM(BT41:BY41)</f>
        <v/>
      </c>
      <c r="CB41" s="38">
        <f>BT41/$BT$7*100</f>
        <v/>
      </c>
      <c r="CC41" s="38">
        <f>BU41/$BU$7*100</f>
        <v/>
      </c>
      <c r="CD41" s="38">
        <f>BV41/$BV$7*100</f>
        <v/>
      </c>
      <c r="CE41" s="38">
        <f>BW41/$BW$7*100</f>
        <v/>
      </c>
      <c r="CF41" s="38">
        <f>BX41/$BX$7*100</f>
        <v/>
      </c>
      <c r="CG41" s="38">
        <f>BY41/$BY$7*100</f>
        <v/>
      </c>
    </row>
    <row r="42" ht="15.5" customHeight="1">
      <c r="A42" s="43" t="n">
        <v>35</v>
      </c>
      <c r="B42" s="43" t="inlineStr">
        <is>
          <t>ASWINI M</t>
        </is>
      </c>
      <c r="C42" s="43" t="inlineStr">
        <is>
          <t>SECTION C</t>
        </is>
      </c>
      <c r="D42" s="4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28">
        <f>SUM(E42:P42)+(IF(Q42&lt;&gt;"",Q42,R42))+(IF(S42&lt;&gt;"",S42,T42))+(IF(U42&lt;&gt;"",U42,V42))+(IF(W42&lt;&gt;"",W42,X42))</f>
        <v/>
      </c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31">
        <f>SUM(AA42:AL42)+(IF(AM42&lt;&gt;"",AM42,AN42))+(IF(AO42&lt;&gt;"",AO42,AP42))+(IF(AQ42&lt;&gt;"",AQ42,AR42))+(IF(AS42&lt;&gt;"",AS42,AT42))</f>
        <v/>
      </c>
      <c r="AW42" s="29">
        <f>SUMPRODUCT(($E$5:$P$5="CO1")*(E42:P42))
+SUMPRODUCT(($AA$5:$AL$5="CO1")*(AA42:AL42))
+IF($Q$5="CO1",IF(Q42&lt;&gt;"",Q42,R42),0)
+IF($S$5="CO1",IF(S42&lt;&gt;"",S42,T42),0)
+IF($U$5="CO1",IF(U42&lt;&gt;"",U42,V42),0)
+IF($W$5="CO1",IF(W42&lt;&gt;"",W42,X42),0)
+IF($AM$5="CO1",IF(AM42&lt;&gt;"",AM42,AN42),0)
+IF($AO$5="CO1",IF(AO42&lt;&gt;"",AO42,AP42),0)
+IF($AQ$5="CO1",IF(AQ42&lt;&gt;"",AQ42,AR42),0)
+IF($AS$5="CO1",IF(AS42&lt;&gt;"",AS42,AT42),0)</f>
        <v/>
      </c>
      <c r="AX42" s="29">
        <f>SUMPRODUCT(($E$5:$P$5="CO2")*(E42:P42))
+SUMPRODUCT(($AA$5:$AL$5="CO2")*(AA42:AL42))
+IF($Q$5="CO2",IF(R42&lt;&gt;"",R42,S42),0)
+IF($S$5="CO2",IF(T42&lt;&gt;"",T42,U42),0)
+IF($U$5="CO2",IF(V42&lt;&gt;"",V42,W42),0)
+IF($W$5="CO2",IF(X42&lt;&gt;"",X42,Y42),0)
+IF($AM$5="CO2",IF(AN42&lt;&gt;"",AN42,AO42),0)
+IF($AO$5="CO2",IF(AP42&lt;&gt;"",AP42,AQ42),0)
+IF($AQ$5="CO2",IF(AR42&lt;&gt;"",AR42,AS42),0)
+IF($AS$5="CO2",IF(AT42&lt;&gt;"",AT42,AU42),0)</f>
        <v/>
      </c>
      <c r="AY42" s="29">
        <f>SUMPRODUCT(($E$5:$P$5="CO3")*(E42:P42))
+SUMPRODUCT(($AA$5:$AL$5="CO3")*(AA42:AL42))
+IF($Q$5="CO3",IF(Q42&lt;&gt;"",Q42,R42),0)
+IF($S$5="CO3",IF(S42&lt;&gt;"",S42,T42),0)
+IF($U$5="CO3",IF(U42&lt;&gt;"",U42,V42),0)
+IF($W$5="CO3",IF(W42&lt;&gt;"",W42,X42),0)
+IF($AM$5="CO3",IF(AM42&lt;&gt;"",AM42,AN42),0)
+IF($AO$5="CO3",IF(AO42&lt;&gt;"",AO42,AP42),0)
+IF($AQ$5="CO3",IF(AQ42&lt;&gt;"",AQ42,AR42),0)
+IF($AS$5="CO3",IF(AS42&lt;&gt;"",AS42,AT42),0)</f>
        <v/>
      </c>
      <c r="AZ42" s="29">
        <f>SUMPRODUCT(($E$5:$P$5="CO4")*(E42:P42))
+SUMPRODUCT(($AA$5:$AL$5="CO4")*(AA42:AL42))
+IF($Q$5="CO4",IF(Q42&lt;&gt;"",Q42,R42),0)
+IF($S$5="CO4",IF(S42&lt;&gt;"",S42,T42),0)
+IF($U$5="CO4",IF(U42&lt;&gt;"",U42,V42),0)
+IF($W$5="CO4",IF(W42&lt;&gt;"",W42,X42),0)
+IF($AM$5="CO4",IF(AM42&lt;&gt;"",AM42,AN42),0)
+IF($AO$5="CO4",IF(AO42&lt;&gt;"",AO42,AP42),0)
+IF($AQ$5="CO4",IF(AQ42&lt;&gt;"",AQ42,AR42),0)
+IF($AS$5="CO4",IF(AS42&lt;&gt;"",AS42,AT42),0)</f>
        <v/>
      </c>
      <c r="BA42" s="29">
        <f>SUMPRODUCT(($E$5:$P$5="CO5")*(E42:P42))
+SUMPRODUCT(($AA$5:$AL$5="CO5")*(AA42:AL42))
+IF($Q$5="CO5",IF(Q42&lt;&gt;"",Q42,R42),0)
+IF($S$5="CO5",IF(S42&lt;&gt;"",S42,T42),0)
+IF($U$5="CO5",IF(U42&lt;&gt;"",U42,V42),0)
+IF($W$5="CO5",IF(W42&lt;&gt;"",W42,X42),0)
+IF($AM$5="CO5",IF(AM42&lt;&gt;"",AM42,AN42),0)
+IF($AO$5="CO5",IF(AO42&lt;&gt;"",AO42,AP42),0)
+IF($AQ$5="CO5",IF(AQ42&lt;&gt;"",AQ42,AR42),0)
+IF($AS$5="CO5",IF(AS42&lt;&gt;"",AS42,AT42),0)</f>
        <v/>
      </c>
      <c r="BB42" s="29">
        <f>SUMPRODUCT(($E$5:$P$5="CO6")*(E42:P42))
+SUMPRODUCT(($AA$5:$AL$5="CO6")*(AA42:AL42))
+IF($Q$5="CO6",IF(Q42&lt;&gt;"",Q42,R42),0)
+IF($S$5="CO6",IF(S42&lt;&gt;"",S42,T42),0)
+IF($U$5="CO6",IF(U42&lt;&gt;"",U42,V42),0)
+IF($W$5="CO6",IF(W42&lt;&gt;"",W42,X42),0)
+IF($AM$5="CO6",IF(AM42&lt;&gt;"",AM42,AN42),0)
+IF($AO$5="CO6",IF(AO42&lt;&gt;"",AO42,AP42),0)
+IF($AQ$5="CO6",IF(AQ42&lt;&gt;"",AQ42,AR42),0)
+IF($AS$5="CO6",IF(AS42&lt;&gt;"",AS42,AT42),0)</f>
        <v/>
      </c>
      <c r="BD42" s="30" t="n">
        <v>12</v>
      </c>
      <c r="BE42" s="30" t="n">
        <v>14</v>
      </c>
      <c r="BF42" s="30" t="n">
        <v>14</v>
      </c>
      <c r="BG42" s="5" t="n"/>
      <c r="BH42" s="5" t="n"/>
      <c r="BI42" s="5" t="n"/>
      <c r="BJ42" s="25">
        <f>SUM(BD42:BI42)</f>
        <v/>
      </c>
      <c r="BL42" s="5" t="n">
        <v>8</v>
      </c>
      <c r="BM42" s="5" t="n">
        <v>8</v>
      </c>
      <c r="BN42" s="5" t="n">
        <v>12</v>
      </c>
      <c r="BO42" s="5" t="n">
        <v>12</v>
      </c>
      <c r="BP42" s="5" t="n"/>
      <c r="BQ42" s="5" t="n"/>
      <c r="BR42" s="33">
        <f>SUM(BL42:BQ42)</f>
        <v/>
      </c>
      <c r="BT42" s="36">
        <f>SUMPRODUCT(($AW$5:$BQ$5="CO1")*AW42:BQ42)</f>
        <v/>
      </c>
      <c r="BU42" s="37">
        <f>SUMPRODUCT(($AW$5:$BR$5="CO2")*AW42:BR42)</f>
        <v/>
      </c>
      <c r="BV42" s="37">
        <f>SUMPRODUCT(($AW$5:$BR$5="CO3")*AW42:BR42)</f>
        <v/>
      </c>
      <c r="BW42" s="37">
        <f>SUMPRODUCT(($AW$5:$BR$5="CO4")*AW42:BR42)</f>
        <v/>
      </c>
      <c r="BX42" s="37">
        <f>SUMPRODUCT(($AW$5:$BR$5="CO5")*AW42:BR42)</f>
        <v/>
      </c>
      <c r="BY42" s="37">
        <f>SUMPRODUCT(($AW$5:$BR$5="CO6")*AW42:BR42)</f>
        <v/>
      </c>
      <c r="BZ42" s="33">
        <f>SUM(BT42:BY42)</f>
        <v/>
      </c>
      <c r="CB42" s="38">
        <f>BT42/$BT$7*100</f>
        <v/>
      </c>
      <c r="CC42" s="38">
        <f>BU42/$BU$7*100</f>
        <v/>
      </c>
      <c r="CD42" s="38">
        <f>BV42/$BV$7*100</f>
        <v/>
      </c>
      <c r="CE42" s="38">
        <f>BW42/$BW$7*100</f>
        <v/>
      </c>
      <c r="CF42" s="38">
        <f>BX42/$BX$7*100</f>
        <v/>
      </c>
      <c r="CG42" s="38">
        <f>BY42/$BY$7*100</f>
        <v/>
      </c>
    </row>
    <row r="43" ht="15.5" customHeight="1">
      <c r="A43" s="43" t="n">
        <v>36</v>
      </c>
      <c r="B43" s="43" t="inlineStr">
        <is>
          <t>ELAKKIYA C</t>
        </is>
      </c>
      <c r="C43" s="43" t="inlineStr">
        <is>
          <t>SECTION C</t>
        </is>
      </c>
      <c r="D43" s="4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28">
        <f>SUM(E43:P43)+(IF(Q43&lt;&gt;"",Q43,R43))+(IF(S43&lt;&gt;"",S43,T43))+(IF(U43&lt;&gt;"",U43,V43))+(IF(W43&lt;&gt;"",W43,X43))</f>
        <v/>
      </c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31">
        <f>SUM(AA43:AL43)+(IF(AM43&lt;&gt;"",AM43,AN43))+(IF(AO43&lt;&gt;"",AO43,AP43))+(IF(AQ43&lt;&gt;"",AQ43,AR43))+(IF(AS43&lt;&gt;"",AS43,AT43))</f>
        <v/>
      </c>
      <c r="AW43" s="29">
        <f>SUMPRODUCT(($E$5:$P$5="CO1")*(E43:P43))
+SUMPRODUCT(($AA$5:$AL$5="CO1")*(AA43:AL43))
+IF($Q$5="CO1",IF(Q43&lt;&gt;"",Q43,R43),0)
+IF($S$5="CO1",IF(S43&lt;&gt;"",S43,T43),0)
+IF($U$5="CO1",IF(U43&lt;&gt;"",U43,V43),0)
+IF($W$5="CO1",IF(W43&lt;&gt;"",W43,X43),0)
+IF($AM$5="CO1",IF(AM43&lt;&gt;"",AM43,AN43),0)
+IF($AO$5="CO1",IF(AO43&lt;&gt;"",AO43,AP43),0)
+IF($AQ$5="CO1",IF(AQ43&lt;&gt;"",AQ43,AR43),0)
+IF($AS$5="CO1",IF(AS43&lt;&gt;"",AS43,AT43),0)</f>
        <v/>
      </c>
      <c r="AX43" s="29">
        <f>SUMPRODUCT(($E$5:$P$5="CO2")*(E43:P43))
+SUMPRODUCT(($AA$5:$AL$5="CO2")*(AA43:AL43))
+IF($Q$5="CO2",IF(R43&lt;&gt;"",R43,S43),0)
+IF($S$5="CO2",IF(T43&lt;&gt;"",T43,U43),0)
+IF($U$5="CO2",IF(V43&lt;&gt;"",V43,W43),0)
+IF($W$5="CO2",IF(X43&lt;&gt;"",X43,Y43),0)
+IF($AM$5="CO2",IF(AN43&lt;&gt;"",AN43,AO43),0)
+IF($AO$5="CO2",IF(AP43&lt;&gt;"",AP43,AQ43),0)
+IF($AQ$5="CO2",IF(AR43&lt;&gt;"",AR43,AS43),0)
+IF($AS$5="CO2",IF(AT43&lt;&gt;"",AT43,AU43),0)</f>
        <v/>
      </c>
      <c r="AY43" s="29">
        <f>SUMPRODUCT(($E$5:$P$5="CO3")*(E43:P43))
+SUMPRODUCT(($AA$5:$AL$5="CO3")*(AA43:AL43))
+IF($Q$5="CO3",IF(Q43&lt;&gt;"",Q43,R43),0)
+IF($S$5="CO3",IF(S43&lt;&gt;"",S43,T43),0)
+IF($U$5="CO3",IF(U43&lt;&gt;"",U43,V43),0)
+IF($W$5="CO3",IF(W43&lt;&gt;"",W43,X43),0)
+IF($AM$5="CO3",IF(AM43&lt;&gt;"",AM43,AN43),0)
+IF($AO$5="CO3",IF(AO43&lt;&gt;"",AO43,AP43),0)
+IF($AQ$5="CO3",IF(AQ43&lt;&gt;"",AQ43,AR43),0)
+IF($AS$5="CO3",IF(AS43&lt;&gt;"",AS43,AT43),0)</f>
        <v/>
      </c>
      <c r="AZ43" s="29">
        <f>SUMPRODUCT(($E$5:$P$5="CO4")*(E43:P43))
+SUMPRODUCT(($AA$5:$AL$5="CO4")*(AA43:AL43))
+IF($Q$5="CO4",IF(Q43&lt;&gt;"",Q43,R43),0)
+IF($S$5="CO4",IF(S43&lt;&gt;"",S43,T43),0)
+IF($U$5="CO4",IF(U43&lt;&gt;"",U43,V43),0)
+IF($W$5="CO4",IF(W43&lt;&gt;"",W43,X43),0)
+IF($AM$5="CO4",IF(AM43&lt;&gt;"",AM43,AN43),0)
+IF($AO$5="CO4",IF(AO43&lt;&gt;"",AO43,AP43),0)
+IF($AQ$5="CO4",IF(AQ43&lt;&gt;"",AQ43,AR43),0)
+IF($AS$5="CO4",IF(AS43&lt;&gt;"",AS43,AT43),0)</f>
        <v/>
      </c>
      <c r="BA43" s="29">
        <f>SUMPRODUCT(($E$5:$P$5="CO5")*(E43:P43))
+SUMPRODUCT(($AA$5:$AL$5="CO5")*(AA43:AL43))
+IF($Q$5="CO5",IF(Q43&lt;&gt;"",Q43,R43),0)
+IF($S$5="CO5",IF(S43&lt;&gt;"",S43,T43),0)
+IF($U$5="CO5",IF(U43&lt;&gt;"",U43,V43),0)
+IF($W$5="CO5",IF(W43&lt;&gt;"",W43,X43),0)
+IF($AM$5="CO5",IF(AM43&lt;&gt;"",AM43,AN43),0)
+IF($AO$5="CO5",IF(AO43&lt;&gt;"",AO43,AP43),0)
+IF($AQ$5="CO5",IF(AQ43&lt;&gt;"",AQ43,AR43),0)
+IF($AS$5="CO5",IF(AS43&lt;&gt;"",AS43,AT43),0)</f>
        <v/>
      </c>
      <c r="BB43" s="29">
        <f>SUMPRODUCT(($E$5:$P$5="CO6")*(E43:P43))
+SUMPRODUCT(($AA$5:$AL$5="CO6")*(AA43:AL43))
+IF($Q$5="CO6",IF(Q43&lt;&gt;"",Q43,R43),0)
+IF($S$5="CO6",IF(S43&lt;&gt;"",S43,T43),0)
+IF($U$5="CO6",IF(U43&lt;&gt;"",U43,V43),0)
+IF($W$5="CO6",IF(W43&lt;&gt;"",W43,X43),0)
+IF($AM$5="CO6",IF(AM43&lt;&gt;"",AM43,AN43),0)
+IF($AO$5="CO6",IF(AO43&lt;&gt;"",AO43,AP43),0)
+IF($AQ$5="CO6",IF(AQ43&lt;&gt;"",AQ43,AR43),0)
+IF($AS$5="CO6",IF(AS43&lt;&gt;"",AS43,AT43),0)</f>
        <v/>
      </c>
      <c r="BD43" s="30" t="n">
        <v>12</v>
      </c>
      <c r="BE43" s="30" t="n">
        <v>14</v>
      </c>
      <c r="BF43" s="30" t="n">
        <v>14</v>
      </c>
      <c r="BG43" s="5" t="n"/>
      <c r="BH43" s="5" t="n"/>
      <c r="BI43" s="5" t="n"/>
      <c r="BJ43" s="25">
        <f>SUM(BD43:BI43)</f>
        <v/>
      </c>
      <c r="BL43" s="5" t="n">
        <v>8</v>
      </c>
      <c r="BM43" s="5" t="n">
        <v>8</v>
      </c>
      <c r="BN43" s="5" t="n">
        <v>12</v>
      </c>
      <c r="BO43" s="5" t="n">
        <v>12</v>
      </c>
      <c r="BP43" s="5" t="n"/>
      <c r="BQ43" s="5" t="n"/>
      <c r="BR43" s="33">
        <f>SUM(BL43:BQ43)</f>
        <v/>
      </c>
      <c r="BT43" s="36">
        <f>SUMPRODUCT(($AW$5:$BQ$5="CO1")*AW43:BQ43)</f>
        <v/>
      </c>
      <c r="BU43" s="37">
        <f>SUMPRODUCT(($AW$5:$BR$5="CO2")*AW43:BR43)</f>
        <v/>
      </c>
      <c r="BV43" s="37">
        <f>SUMPRODUCT(($AW$5:$BR$5="CO3")*AW43:BR43)</f>
        <v/>
      </c>
      <c r="BW43" s="37">
        <f>SUMPRODUCT(($AW$5:$BR$5="CO4")*AW43:BR43)</f>
        <v/>
      </c>
      <c r="BX43" s="37">
        <f>SUMPRODUCT(($AW$5:$BR$5="CO5")*AW43:BR43)</f>
        <v/>
      </c>
      <c r="BY43" s="37">
        <f>SUMPRODUCT(($AW$5:$BR$5="CO6")*AW43:BR43)</f>
        <v/>
      </c>
      <c r="BZ43" s="33">
        <f>SUM(BT43:BY43)</f>
        <v/>
      </c>
      <c r="CB43" s="38">
        <f>BT43/$BT$7*100</f>
        <v/>
      </c>
      <c r="CC43" s="38">
        <f>BU43/$BU$7*100</f>
        <v/>
      </c>
      <c r="CD43" s="38">
        <f>BV43/$BV$7*100</f>
        <v/>
      </c>
      <c r="CE43" s="38">
        <f>BW43/$BW$7*100</f>
        <v/>
      </c>
      <c r="CF43" s="38">
        <f>BX43/$BX$7*100</f>
        <v/>
      </c>
      <c r="CG43" s="38">
        <f>BY43/$BY$7*100</f>
        <v/>
      </c>
    </row>
    <row r="44" ht="15.5" customHeight="1">
      <c r="A44" s="43" t="n">
        <v>37</v>
      </c>
      <c r="B44" s="43" t="inlineStr">
        <is>
          <t>HARINI PRINCYA J</t>
        </is>
      </c>
      <c r="C44" s="43" t="inlineStr">
        <is>
          <t>SECTION C</t>
        </is>
      </c>
      <c r="D44" s="4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28">
        <f>SUM(E44:P44)+(IF(Q44&lt;&gt;"",Q44,R44))+(IF(S44&lt;&gt;"",S44,T44))+(IF(U44&lt;&gt;"",U44,V44))+(IF(W44&lt;&gt;"",W44,X44))</f>
        <v/>
      </c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31">
        <f>SUM(AA44:AL44)+(IF(AM44&lt;&gt;"",AM44,AN44))+(IF(AO44&lt;&gt;"",AO44,AP44))+(IF(AQ44&lt;&gt;"",AQ44,AR44))+(IF(AS44&lt;&gt;"",AS44,AT44))</f>
        <v/>
      </c>
      <c r="AW44" s="29">
        <f>SUMPRODUCT(($E$5:$P$5="CO1")*(E44:P44))
+SUMPRODUCT(($AA$5:$AL$5="CO1")*(AA44:AL44))
+IF($Q$5="CO1",IF(Q44&lt;&gt;"",Q44,R44),0)
+IF($S$5="CO1",IF(S44&lt;&gt;"",S44,T44),0)
+IF($U$5="CO1",IF(U44&lt;&gt;"",U44,V44),0)
+IF($W$5="CO1",IF(W44&lt;&gt;"",W44,X44),0)
+IF($AM$5="CO1",IF(AM44&lt;&gt;"",AM44,AN44),0)
+IF($AO$5="CO1",IF(AO44&lt;&gt;"",AO44,AP44),0)
+IF($AQ$5="CO1",IF(AQ44&lt;&gt;"",AQ44,AR44),0)
+IF($AS$5="CO1",IF(AS44&lt;&gt;"",AS44,AT44),0)</f>
        <v/>
      </c>
      <c r="AX44" s="29">
        <f>SUMPRODUCT(($E$5:$P$5="CO2")*(E44:P44))
+SUMPRODUCT(($AA$5:$AL$5="CO2")*(AA44:AL44))
+IF($Q$5="CO2",IF(R44&lt;&gt;"",R44,S44),0)
+IF($S$5="CO2",IF(T44&lt;&gt;"",T44,U44),0)
+IF($U$5="CO2",IF(V44&lt;&gt;"",V44,W44),0)
+IF($W$5="CO2",IF(X44&lt;&gt;"",X44,Y44),0)
+IF($AM$5="CO2",IF(AN44&lt;&gt;"",AN44,AO44),0)
+IF($AO$5="CO2",IF(AP44&lt;&gt;"",AP44,AQ44),0)
+IF($AQ$5="CO2",IF(AR44&lt;&gt;"",AR44,AS44),0)
+IF($AS$5="CO2",IF(AT44&lt;&gt;"",AT44,AU44),0)</f>
        <v/>
      </c>
      <c r="AY44" s="29">
        <f>SUMPRODUCT(($E$5:$P$5="CO3")*(E44:P44))
+SUMPRODUCT(($AA$5:$AL$5="CO3")*(AA44:AL44))
+IF($Q$5="CO3",IF(Q44&lt;&gt;"",Q44,R44),0)
+IF($S$5="CO3",IF(S44&lt;&gt;"",S44,T44),0)
+IF($U$5="CO3",IF(U44&lt;&gt;"",U44,V44),0)
+IF($W$5="CO3",IF(W44&lt;&gt;"",W44,X44),0)
+IF($AM$5="CO3",IF(AM44&lt;&gt;"",AM44,AN44),0)
+IF($AO$5="CO3",IF(AO44&lt;&gt;"",AO44,AP44),0)
+IF($AQ$5="CO3",IF(AQ44&lt;&gt;"",AQ44,AR44),0)
+IF($AS$5="CO3",IF(AS44&lt;&gt;"",AS44,AT44),0)</f>
        <v/>
      </c>
      <c r="AZ44" s="29">
        <f>SUMPRODUCT(($E$5:$P$5="CO4")*(E44:P44))
+SUMPRODUCT(($AA$5:$AL$5="CO4")*(AA44:AL44))
+IF($Q$5="CO4",IF(Q44&lt;&gt;"",Q44,R44),0)
+IF($S$5="CO4",IF(S44&lt;&gt;"",S44,T44),0)
+IF($U$5="CO4",IF(U44&lt;&gt;"",U44,V44),0)
+IF($W$5="CO4",IF(W44&lt;&gt;"",W44,X44),0)
+IF($AM$5="CO4",IF(AM44&lt;&gt;"",AM44,AN44),0)
+IF($AO$5="CO4",IF(AO44&lt;&gt;"",AO44,AP44),0)
+IF($AQ$5="CO4",IF(AQ44&lt;&gt;"",AQ44,AR44),0)
+IF($AS$5="CO4",IF(AS44&lt;&gt;"",AS44,AT44),0)</f>
        <v/>
      </c>
      <c r="BA44" s="29">
        <f>SUMPRODUCT(($E$5:$P$5="CO5")*(E44:P44))
+SUMPRODUCT(($AA$5:$AL$5="CO5")*(AA44:AL44))
+IF($Q$5="CO5",IF(Q44&lt;&gt;"",Q44,R44),0)
+IF($S$5="CO5",IF(S44&lt;&gt;"",S44,T44),0)
+IF($U$5="CO5",IF(U44&lt;&gt;"",U44,V44),0)
+IF($W$5="CO5",IF(W44&lt;&gt;"",W44,X44),0)
+IF($AM$5="CO5",IF(AM44&lt;&gt;"",AM44,AN44),0)
+IF($AO$5="CO5",IF(AO44&lt;&gt;"",AO44,AP44),0)
+IF($AQ$5="CO5",IF(AQ44&lt;&gt;"",AQ44,AR44),0)
+IF($AS$5="CO5",IF(AS44&lt;&gt;"",AS44,AT44),0)</f>
        <v/>
      </c>
      <c r="BB44" s="29">
        <f>SUMPRODUCT(($E$5:$P$5="CO6")*(E44:P44))
+SUMPRODUCT(($AA$5:$AL$5="CO6")*(AA44:AL44))
+IF($Q$5="CO6",IF(Q44&lt;&gt;"",Q44,R44),0)
+IF($S$5="CO6",IF(S44&lt;&gt;"",S44,T44),0)
+IF($U$5="CO6",IF(U44&lt;&gt;"",U44,V44),0)
+IF($W$5="CO6",IF(W44&lt;&gt;"",W44,X44),0)
+IF($AM$5="CO6",IF(AM44&lt;&gt;"",AM44,AN44),0)
+IF($AO$5="CO6",IF(AO44&lt;&gt;"",AO44,AP44),0)
+IF($AQ$5="CO6",IF(AQ44&lt;&gt;"",AQ44,AR44),0)
+IF($AS$5="CO6",IF(AS44&lt;&gt;"",AS44,AT44),0)</f>
        <v/>
      </c>
      <c r="BD44" s="30" t="n">
        <v>12</v>
      </c>
      <c r="BE44" s="30" t="n">
        <v>14</v>
      </c>
      <c r="BF44" s="30" t="n">
        <v>14</v>
      </c>
      <c r="BG44" s="5" t="n"/>
      <c r="BH44" s="5" t="n"/>
      <c r="BI44" s="5" t="n"/>
      <c r="BJ44" s="25">
        <f>SUM(BD44:BI44)</f>
        <v/>
      </c>
      <c r="BL44" s="5" t="n">
        <v>8</v>
      </c>
      <c r="BM44" s="5" t="n">
        <v>8</v>
      </c>
      <c r="BN44" s="5" t="n">
        <v>12</v>
      </c>
      <c r="BO44" s="5" t="n">
        <v>12</v>
      </c>
      <c r="BP44" s="5" t="n"/>
      <c r="BQ44" s="5" t="n"/>
      <c r="BR44" s="33">
        <f>SUM(BL44:BQ44)</f>
        <v/>
      </c>
      <c r="BT44" s="36">
        <f>SUMPRODUCT(($AW$5:$BQ$5="CO1")*AW44:BQ44)</f>
        <v/>
      </c>
      <c r="BU44" s="37">
        <f>SUMPRODUCT(($AW$5:$BR$5="CO2")*AW44:BR44)</f>
        <v/>
      </c>
      <c r="BV44" s="37">
        <f>SUMPRODUCT(($AW$5:$BR$5="CO3")*AW44:BR44)</f>
        <v/>
      </c>
      <c r="BW44" s="37">
        <f>SUMPRODUCT(($AW$5:$BR$5="CO4")*AW44:BR44)</f>
        <v/>
      </c>
      <c r="BX44" s="37">
        <f>SUMPRODUCT(($AW$5:$BR$5="CO5")*AW44:BR44)</f>
        <v/>
      </c>
      <c r="BY44" s="37">
        <f>SUMPRODUCT(($AW$5:$BR$5="CO6")*AW44:BR44)</f>
        <v/>
      </c>
      <c r="BZ44" s="33">
        <f>SUM(BT44:BY44)</f>
        <v/>
      </c>
      <c r="CB44" s="38">
        <f>BT44/$BT$7*100</f>
        <v/>
      </c>
      <c r="CC44" s="38">
        <f>BU44/$BU$7*100</f>
        <v/>
      </c>
      <c r="CD44" s="38">
        <f>BV44/$BV$7*100</f>
        <v/>
      </c>
      <c r="CE44" s="38">
        <f>BW44/$BW$7*100</f>
        <v/>
      </c>
      <c r="CF44" s="38">
        <f>BX44/$BX$7*100</f>
        <v/>
      </c>
      <c r="CG44" s="38">
        <f>BY44/$BY$7*100</f>
        <v/>
      </c>
    </row>
    <row r="45" ht="15.5" customHeight="1">
      <c r="A45" s="43" t="n">
        <v>38</v>
      </c>
      <c r="B45" s="43" t="inlineStr">
        <is>
          <t>HARSHINI P.V</t>
        </is>
      </c>
      <c r="C45" s="43" t="inlineStr">
        <is>
          <t>SECTION C</t>
        </is>
      </c>
      <c r="D45" s="4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28">
        <f>SUM(E45:P45)+(IF(Q45&lt;&gt;"",Q45,R45))+(IF(S45&lt;&gt;"",S45,T45))+(IF(U45&lt;&gt;"",U45,V45))+(IF(W45&lt;&gt;"",W45,X45))</f>
        <v/>
      </c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31">
        <f>SUM(AA45:AL45)+(IF(AM45&lt;&gt;"",AM45,AN45))+(IF(AO45&lt;&gt;"",AO45,AP45))+(IF(AQ45&lt;&gt;"",AQ45,AR45))+(IF(AS45&lt;&gt;"",AS45,AT45))</f>
        <v/>
      </c>
      <c r="AW45" s="29">
        <f>SUMPRODUCT(($E$5:$P$5="CO1")*(E45:P45))
+SUMPRODUCT(($AA$5:$AL$5="CO1")*(AA45:AL45))
+IF($Q$5="CO1",IF(Q45&lt;&gt;"",Q45,R45),0)
+IF($S$5="CO1",IF(S45&lt;&gt;"",S45,T45),0)
+IF($U$5="CO1",IF(U45&lt;&gt;"",U45,V45),0)
+IF($W$5="CO1",IF(W45&lt;&gt;"",W45,X45),0)
+IF($AM$5="CO1",IF(AM45&lt;&gt;"",AM45,AN45),0)
+IF($AO$5="CO1",IF(AO45&lt;&gt;"",AO45,AP45),0)
+IF($AQ$5="CO1",IF(AQ45&lt;&gt;"",AQ45,AR45),0)
+IF($AS$5="CO1",IF(AS45&lt;&gt;"",AS45,AT45),0)</f>
        <v/>
      </c>
      <c r="AX45" s="29">
        <f>SUMPRODUCT(($E$5:$P$5="CO2")*(E45:P45))
+SUMPRODUCT(($AA$5:$AL$5="CO2")*(AA45:AL45))
+IF($Q$5="CO2",IF(R45&lt;&gt;"",R45,S45),0)
+IF($S$5="CO2",IF(T45&lt;&gt;"",T45,U45),0)
+IF($U$5="CO2",IF(V45&lt;&gt;"",V45,W45),0)
+IF($W$5="CO2",IF(X45&lt;&gt;"",X45,Y45),0)
+IF($AM$5="CO2",IF(AN45&lt;&gt;"",AN45,AO45),0)
+IF($AO$5="CO2",IF(AP45&lt;&gt;"",AP45,AQ45),0)
+IF($AQ$5="CO2",IF(AR45&lt;&gt;"",AR45,AS45),0)
+IF($AS$5="CO2",IF(AT45&lt;&gt;"",AT45,AU45),0)</f>
        <v/>
      </c>
      <c r="AY45" s="29">
        <f>SUMPRODUCT(($E$5:$P$5="CO3")*(E45:P45))
+SUMPRODUCT(($AA$5:$AL$5="CO3")*(AA45:AL45))
+IF($Q$5="CO3",IF(Q45&lt;&gt;"",Q45,R45),0)
+IF($S$5="CO3",IF(S45&lt;&gt;"",S45,T45),0)
+IF($U$5="CO3",IF(U45&lt;&gt;"",U45,V45),0)
+IF($W$5="CO3",IF(W45&lt;&gt;"",W45,X45),0)
+IF($AM$5="CO3",IF(AM45&lt;&gt;"",AM45,AN45),0)
+IF($AO$5="CO3",IF(AO45&lt;&gt;"",AO45,AP45),0)
+IF($AQ$5="CO3",IF(AQ45&lt;&gt;"",AQ45,AR45),0)
+IF($AS$5="CO3",IF(AS45&lt;&gt;"",AS45,AT45),0)</f>
        <v/>
      </c>
      <c r="AZ45" s="29">
        <f>SUMPRODUCT(($E$5:$P$5="CO4")*(E45:P45))
+SUMPRODUCT(($AA$5:$AL$5="CO4")*(AA45:AL45))
+IF($Q$5="CO4",IF(Q45&lt;&gt;"",Q45,R45),0)
+IF($S$5="CO4",IF(S45&lt;&gt;"",S45,T45),0)
+IF($U$5="CO4",IF(U45&lt;&gt;"",U45,V45),0)
+IF($W$5="CO4",IF(W45&lt;&gt;"",W45,X45),0)
+IF($AM$5="CO4",IF(AM45&lt;&gt;"",AM45,AN45),0)
+IF($AO$5="CO4",IF(AO45&lt;&gt;"",AO45,AP45),0)
+IF($AQ$5="CO4",IF(AQ45&lt;&gt;"",AQ45,AR45),0)
+IF($AS$5="CO4",IF(AS45&lt;&gt;"",AS45,AT45),0)</f>
        <v/>
      </c>
      <c r="BA45" s="29">
        <f>SUMPRODUCT(($E$5:$P$5="CO5")*(E45:P45))
+SUMPRODUCT(($AA$5:$AL$5="CO5")*(AA45:AL45))
+IF($Q$5="CO5",IF(Q45&lt;&gt;"",Q45,R45),0)
+IF($S$5="CO5",IF(S45&lt;&gt;"",S45,T45),0)
+IF($U$5="CO5",IF(U45&lt;&gt;"",U45,V45),0)
+IF($W$5="CO5",IF(W45&lt;&gt;"",W45,X45),0)
+IF($AM$5="CO5",IF(AM45&lt;&gt;"",AM45,AN45),0)
+IF($AO$5="CO5",IF(AO45&lt;&gt;"",AO45,AP45),0)
+IF($AQ$5="CO5",IF(AQ45&lt;&gt;"",AQ45,AR45),0)
+IF($AS$5="CO5",IF(AS45&lt;&gt;"",AS45,AT45),0)</f>
        <v/>
      </c>
      <c r="BB45" s="29">
        <f>SUMPRODUCT(($E$5:$P$5="CO6")*(E45:P45))
+SUMPRODUCT(($AA$5:$AL$5="CO6")*(AA45:AL45))
+IF($Q$5="CO6",IF(Q45&lt;&gt;"",Q45,R45),0)
+IF($S$5="CO6",IF(S45&lt;&gt;"",S45,T45),0)
+IF($U$5="CO6",IF(U45&lt;&gt;"",U45,V45),0)
+IF($W$5="CO6",IF(W45&lt;&gt;"",W45,X45),0)
+IF($AM$5="CO6",IF(AM45&lt;&gt;"",AM45,AN45),0)
+IF($AO$5="CO6",IF(AO45&lt;&gt;"",AO45,AP45),0)
+IF($AQ$5="CO6",IF(AQ45&lt;&gt;"",AQ45,AR45),0)
+IF($AS$5="CO6",IF(AS45&lt;&gt;"",AS45,AT45),0)</f>
        <v/>
      </c>
      <c r="BD45" s="30" t="n">
        <v>12</v>
      </c>
      <c r="BE45" s="30" t="n">
        <v>14</v>
      </c>
      <c r="BF45" s="30" t="n">
        <v>14</v>
      </c>
      <c r="BG45" s="5" t="n"/>
      <c r="BH45" s="5" t="n"/>
      <c r="BI45" s="5" t="n"/>
      <c r="BJ45" s="25">
        <f>SUM(BD45:BI45)</f>
        <v/>
      </c>
      <c r="BL45" s="5" t="n">
        <v>8</v>
      </c>
      <c r="BM45" s="5" t="n">
        <v>8</v>
      </c>
      <c r="BN45" s="5" t="n">
        <v>12</v>
      </c>
      <c r="BO45" s="5" t="n">
        <v>12</v>
      </c>
      <c r="BP45" s="5" t="n"/>
      <c r="BQ45" s="5" t="n"/>
      <c r="BR45" s="33">
        <f>SUM(BL45:BQ45)</f>
        <v/>
      </c>
      <c r="BT45" s="36">
        <f>SUMPRODUCT(($AW$5:$BQ$5="CO1")*AW45:BQ45)</f>
        <v/>
      </c>
      <c r="BU45" s="37">
        <f>SUMPRODUCT(($AW$5:$BR$5="CO2")*AW45:BR45)</f>
        <v/>
      </c>
      <c r="BV45" s="37">
        <f>SUMPRODUCT(($AW$5:$BR$5="CO3")*AW45:BR45)</f>
        <v/>
      </c>
      <c r="BW45" s="37">
        <f>SUMPRODUCT(($AW$5:$BR$5="CO4")*AW45:BR45)</f>
        <v/>
      </c>
      <c r="BX45" s="37">
        <f>SUMPRODUCT(($AW$5:$BR$5="CO5")*AW45:BR45)</f>
        <v/>
      </c>
      <c r="BY45" s="37">
        <f>SUMPRODUCT(($AW$5:$BR$5="CO6")*AW45:BR45)</f>
        <v/>
      </c>
      <c r="BZ45" s="33">
        <f>SUM(BT45:BY45)</f>
        <v/>
      </c>
      <c r="CB45" s="38">
        <f>BT45/$BT$7*100</f>
        <v/>
      </c>
      <c r="CC45" s="38">
        <f>BU45/$BU$7*100</f>
        <v/>
      </c>
      <c r="CD45" s="38">
        <f>BV45/$BV$7*100</f>
        <v/>
      </c>
      <c r="CE45" s="38">
        <f>BW45/$BW$7*100</f>
        <v/>
      </c>
      <c r="CF45" s="38">
        <f>BX45/$BX$7*100</f>
        <v/>
      </c>
      <c r="CG45" s="38">
        <f>BY45/$BY$7*100</f>
        <v/>
      </c>
    </row>
    <row r="46" ht="15.5" customHeight="1">
      <c r="A46" s="43" t="n">
        <v>39</v>
      </c>
      <c r="B46" s="43" t="inlineStr">
        <is>
          <t>HAVLIN DHARSHINI D</t>
        </is>
      </c>
      <c r="C46" s="43" t="inlineStr">
        <is>
          <t>SECTION C</t>
        </is>
      </c>
      <c r="D46" s="4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28">
        <f>SUM(E46:P46)+(IF(Q46&lt;&gt;"",Q46,R46))+(IF(S46&lt;&gt;"",S46,T46))+(IF(U46&lt;&gt;"",U46,V46))+(IF(W46&lt;&gt;"",W46,X46))</f>
        <v/>
      </c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31">
        <f>SUM(AA46:AL46)+(IF(AM46&lt;&gt;"",AM46,AN46))+(IF(AO46&lt;&gt;"",AO46,AP46))+(IF(AQ46&lt;&gt;"",AQ46,AR46))+(IF(AS46&lt;&gt;"",AS46,AT46))</f>
        <v/>
      </c>
      <c r="AW46" s="29">
        <f>SUMPRODUCT(($E$5:$P$5="CO1")*(E46:P46))
+SUMPRODUCT(($AA$5:$AL$5="CO1")*(AA46:AL46))
+IF($Q$5="CO1",IF(Q46&lt;&gt;"",Q46,R46),0)
+IF($S$5="CO1",IF(S46&lt;&gt;"",S46,T46),0)
+IF($U$5="CO1",IF(U46&lt;&gt;"",U46,V46),0)
+IF($W$5="CO1",IF(W46&lt;&gt;"",W46,X46),0)
+IF($AM$5="CO1",IF(AM46&lt;&gt;"",AM46,AN46),0)
+IF($AO$5="CO1",IF(AO46&lt;&gt;"",AO46,AP46),0)
+IF($AQ$5="CO1",IF(AQ46&lt;&gt;"",AQ46,AR46),0)
+IF($AS$5="CO1",IF(AS46&lt;&gt;"",AS46,AT46),0)</f>
        <v/>
      </c>
      <c r="AX46" s="29">
        <f>SUMPRODUCT(($E$5:$P$5="CO2")*(E46:P46))
+SUMPRODUCT(($AA$5:$AL$5="CO2")*(AA46:AL46))
+IF($Q$5="CO2",IF(R46&lt;&gt;"",R46,S46),0)
+IF($S$5="CO2",IF(T46&lt;&gt;"",T46,U46),0)
+IF($U$5="CO2",IF(V46&lt;&gt;"",V46,W46),0)
+IF($W$5="CO2",IF(X46&lt;&gt;"",X46,Y46),0)
+IF($AM$5="CO2",IF(AN46&lt;&gt;"",AN46,AO46),0)
+IF($AO$5="CO2",IF(AP46&lt;&gt;"",AP46,AQ46),0)
+IF($AQ$5="CO2",IF(AR46&lt;&gt;"",AR46,AS46),0)
+IF($AS$5="CO2",IF(AT46&lt;&gt;"",AT46,AU46),0)</f>
        <v/>
      </c>
      <c r="AY46" s="29">
        <f>SUMPRODUCT(($E$5:$P$5="CO3")*(E46:P46))
+SUMPRODUCT(($AA$5:$AL$5="CO3")*(AA46:AL46))
+IF($Q$5="CO3",IF(Q46&lt;&gt;"",Q46,R46),0)
+IF($S$5="CO3",IF(S46&lt;&gt;"",S46,T46),0)
+IF($U$5="CO3",IF(U46&lt;&gt;"",U46,V46),0)
+IF($W$5="CO3",IF(W46&lt;&gt;"",W46,X46),0)
+IF($AM$5="CO3",IF(AM46&lt;&gt;"",AM46,AN46),0)
+IF($AO$5="CO3",IF(AO46&lt;&gt;"",AO46,AP46),0)
+IF($AQ$5="CO3",IF(AQ46&lt;&gt;"",AQ46,AR46),0)
+IF($AS$5="CO3",IF(AS46&lt;&gt;"",AS46,AT46),0)</f>
        <v/>
      </c>
      <c r="AZ46" s="29">
        <f>SUMPRODUCT(($E$5:$P$5="CO4")*(E46:P46))
+SUMPRODUCT(($AA$5:$AL$5="CO4")*(AA46:AL46))
+IF($Q$5="CO4",IF(Q46&lt;&gt;"",Q46,R46),0)
+IF($S$5="CO4",IF(S46&lt;&gt;"",S46,T46),0)
+IF($U$5="CO4",IF(U46&lt;&gt;"",U46,V46),0)
+IF($W$5="CO4",IF(W46&lt;&gt;"",W46,X46),0)
+IF($AM$5="CO4",IF(AM46&lt;&gt;"",AM46,AN46),0)
+IF($AO$5="CO4",IF(AO46&lt;&gt;"",AO46,AP46),0)
+IF($AQ$5="CO4",IF(AQ46&lt;&gt;"",AQ46,AR46),0)
+IF($AS$5="CO4",IF(AS46&lt;&gt;"",AS46,AT46),0)</f>
        <v/>
      </c>
      <c r="BA46" s="29">
        <f>SUMPRODUCT(($E$5:$P$5="CO5")*(E46:P46))
+SUMPRODUCT(($AA$5:$AL$5="CO5")*(AA46:AL46))
+IF($Q$5="CO5",IF(Q46&lt;&gt;"",Q46,R46),0)
+IF($S$5="CO5",IF(S46&lt;&gt;"",S46,T46),0)
+IF($U$5="CO5",IF(U46&lt;&gt;"",U46,V46),0)
+IF($W$5="CO5",IF(W46&lt;&gt;"",W46,X46),0)
+IF($AM$5="CO5",IF(AM46&lt;&gt;"",AM46,AN46),0)
+IF($AO$5="CO5",IF(AO46&lt;&gt;"",AO46,AP46),0)
+IF($AQ$5="CO5",IF(AQ46&lt;&gt;"",AQ46,AR46),0)
+IF($AS$5="CO5",IF(AS46&lt;&gt;"",AS46,AT46),0)</f>
        <v/>
      </c>
      <c r="BB46" s="29">
        <f>SUMPRODUCT(($E$5:$P$5="CO6")*(E46:P46))
+SUMPRODUCT(($AA$5:$AL$5="CO6")*(AA46:AL46))
+IF($Q$5="CO6",IF(Q46&lt;&gt;"",Q46,R46),0)
+IF($S$5="CO6",IF(S46&lt;&gt;"",S46,T46),0)
+IF($U$5="CO6",IF(U46&lt;&gt;"",U46,V46),0)
+IF($W$5="CO6",IF(W46&lt;&gt;"",W46,X46),0)
+IF($AM$5="CO6",IF(AM46&lt;&gt;"",AM46,AN46),0)
+IF($AO$5="CO6",IF(AO46&lt;&gt;"",AO46,AP46),0)
+IF($AQ$5="CO6",IF(AQ46&lt;&gt;"",AQ46,AR46),0)
+IF($AS$5="CO6",IF(AS46&lt;&gt;"",AS46,AT46),0)</f>
        <v/>
      </c>
      <c r="BD46" s="30" t="n">
        <v>12</v>
      </c>
      <c r="BE46" s="30" t="n">
        <v>14</v>
      </c>
      <c r="BF46" s="30" t="n">
        <v>14</v>
      </c>
      <c r="BG46" s="5" t="n"/>
      <c r="BH46" s="5" t="n"/>
      <c r="BI46" s="5" t="n"/>
      <c r="BJ46" s="25">
        <f>SUM(BD46:BI46)</f>
        <v/>
      </c>
      <c r="BL46" s="5" t="n">
        <v>8</v>
      </c>
      <c r="BM46" s="5" t="n">
        <v>8</v>
      </c>
      <c r="BN46" s="5" t="n">
        <v>12</v>
      </c>
      <c r="BO46" s="5" t="n">
        <v>12</v>
      </c>
      <c r="BP46" s="5" t="n"/>
      <c r="BQ46" s="5" t="n"/>
      <c r="BR46" s="33">
        <f>SUM(BL46:BQ46)</f>
        <v/>
      </c>
      <c r="BT46" s="36">
        <f>SUMPRODUCT(($AW$5:$BQ$5="CO1")*AW46:BQ46)</f>
        <v/>
      </c>
      <c r="BU46" s="37">
        <f>SUMPRODUCT(($AW$5:$BR$5="CO2")*AW46:BR46)</f>
        <v/>
      </c>
      <c r="BV46" s="37">
        <f>SUMPRODUCT(($AW$5:$BR$5="CO3")*AW46:BR46)</f>
        <v/>
      </c>
      <c r="BW46" s="37">
        <f>SUMPRODUCT(($AW$5:$BR$5="CO4")*AW46:BR46)</f>
        <v/>
      </c>
      <c r="BX46" s="37">
        <f>SUMPRODUCT(($AW$5:$BR$5="CO5")*AW46:BR46)</f>
        <v/>
      </c>
      <c r="BY46" s="37">
        <f>SUMPRODUCT(($AW$5:$BR$5="CO6")*AW46:BR46)</f>
        <v/>
      </c>
      <c r="BZ46" s="33">
        <f>SUM(BT46:BY46)</f>
        <v/>
      </c>
      <c r="CB46" s="38">
        <f>BT46/$BT$7*100</f>
        <v/>
      </c>
      <c r="CC46" s="38">
        <f>BU46/$BU$7*100</f>
        <v/>
      </c>
      <c r="CD46" s="38">
        <f>BV46/$BV$7*100</f>
        <v/>
      </c>
      <c r="CE46" s="38">
        <f>BW46/$BW$7*100</f>
        <v/>
      </c>
      <c r="CF46" s="38">
        <f>BX46/$BX$7*100</f>
        <v/>
      </c>
      <c r="CG46" s="38">
        <f>BY46/$BY$7*100</f>
        <v/>
      </c>
    </row>
    <row r="47" ht="15.5" customHeight="1">
      <c r="A47" s="43" t="n">
        <v>40</v>
      </c>
      <c r="B47" s="43" t="inlineStr">
        <is>
          <t>JAMUNA DEVI S</t>
        </is>
      </c>
      <c r="C47" s="43" t="inlineStr">
        <is>
          <t>SECTION C</t>
        </is>
      </c>
      <c r="D47" s="4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28">
        <f>SUM(E47:P47)+(IF(Q47&lt;&gt;"",Q47,R47))+(IF(S47&lt;&gt;"",S47,T47))+(IF(U47&lt;&gt;"",U47,V47))+(IF(W47&lt;&gt;"",W47,X47))</f>
        <v/>
      </c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31">
        <f>SUM(AA47:AL47)+(IF(AM47&lt;&gt;"",AM47,AN47))+(IF(AO47&lt;&gt;"",AO47,AP47))+(IF(AQ47&lt;&gt;"",AQ47,AR47))+(IF(AS47&lt;&gt;"",AS47,AT47))</f>
        <v/>
      </c>
      <c r="AW47" s="29">
        <f>SUMPRODUCT(($E$5:$P$5="CO1")*(E47:P47))
+SUMPRODUCT(($AA$5:$AL$5="CO1")*(AA47:AL47))
+IF($Q$5="CO1",IF(Q47&lt;&gt;"",Q47,R47),0)
+IF($S$5="CO1",IF(S47&lt;&gt;"",S47,T47),0)
+IF($U$5="CO1",IF(U47&lt;&gt;"",U47,V47),0)
+IF($W$5="CO1",IF(W47&lt;&gt;"",W47,X47),0)
+IF($AM$5="CO1",IF(AM47&lt;&gt;"",AM47,AN47),0)
+IF($AO$5="CO1",IF(AO47&lt;&gt;"",AO47,AP47),0)
+IF($AQ$5="CO1",IF(AQ47&lt;&gt;"",AQ47,AR47),0)
+IF($AS$5="CO1",IF(AS47&lt;&gt;"",AS47,AT47),0)</f>
        <v/>
      </c>
      <c r="AX47" s="29">
        <f>SUMPRODUCT(($E$5:$P$5="CO2")*(E47:P47))
+SUMPRODUCT(($AA$5:$AL$5="CO2")*(AA47:AL47))
+IF($Q$5="CO2",IF(R47&lt;&gt;"",R47,S47),0)
+IF($S$5="CO2",IF(T47&lt;&gt;"",T47,U47),0)
+IF($U$5="CO2",IF(V47&lt;&gt;"",V47,W47),0)
+IF($W$5="CO2",IF(X47&lt;&gt;"",X47,Y47),0)
+IF($AM$5="CO2",IF(AN47&lt;&gt;"",AN47,AO47),0)
+IF($AO$5="CO2",IF(AP47&lt;&gt;"",AP47,AQ47),0)
+IF($AQ$5="CO2",IF(AR47&lt;&gt;"",AR47,AS47),0)
+IF($AS$5="CO2",IF(AT47&lt;&gt;"",AT47,AU47),0)</f>
        <v/>
      </c>
      <c r="AY47" s="29">
        <f>SUMPRODUCT(($E$5:$P$5="CO3")*(E47:P47))
+SUMPRODUCT(($AA$5:$AL$5="CO3")*(AA47:AL47))
+IF($Q$5="CO3",IF(Q47&lt;&gt;"",Q47,R47),0)
+IF($S$5="CO3",IF(S47&lt;&gt;"",S47,T47),0)
+IF($U$5="CO3",IF(U47&lt;&gt;"",U47,V47),0)
+IF($W$5="CO3",IF(W47&lt;&gt;"",W47,X47),0)
+IF($AM$5="CO3",IF(AM47&lt;&gt;"",AM47,AN47),0)
+IF($AO$5="CO3",IF(AO47&lt;&gt;"",AO47,AP47),0)
+IF($AQ$5="CO3",IF(AQ47&lt;&gt;"",AQ47,AR47),0)
+IF($AS$5="CO3",IF(AS47&lt;&gt;"",AS47,AT47),0)</f>
        <v/>
      </c>
      <c r="AZ47" s="29">
        <f>SUMPRODUCT(($E$5:$P$5="CO4")*(E47:P47))
+SUMPRODUCT(($AA$5:$AL$5="CO4")*(AA47:AL47))
+IF($Q$5="CO4",IF(Q47&lt;&gt;"",Q47,R47),0)
+IF($S$5="CO4",IF(S47&lt;&gt;"",S47,T47),0)
+IF($U$5="CO4",IF(U47&lt;&gt;"",U47,V47),0)
+IF($W$5="CO4",IF(W47&lt;&gt;"",W47,X47),0)
+IF($AM$5="CO4",IF(AM47&lt;&gt;"",AM47,AN47),0)
+IF($AO$5="CO4",IF(AO47&lt;&gt;"",AO47,AP47),0)
+IF($AQ$5="CO4",IF(AQ47&lt;&gt;"",AQ47,AR47),0)
+IF($AS$5="CO4",IF(AS47&lt;&gt;"",AS47,AT47),0)</f>
        <v/>
      </c>
      <c r="BA47" s="29">
        <f>SUMPRODUCT(($E$5:$P$5="CO5")*(E47:P47))
+SUMPRODUCT(($AA$5:$AL$5="CO5")*(AA47:AL47))
+IF($Q$5="CO5",IF(Q47&lt;&gt;"",Q47,R47),0)
+IF($S$5="CO5",IF(S47&lt;&gt;"",S47,T47),0)
+IF($U$5="CO5",IF(U47&lt;&gt;"",U47,V47),0)
+IF($W$5="CO5",IF(W47&lt;&gt;"",W47,X47),0)
+IF($AM$5="CO5",IF(AM47&lt;&gt;"",AM47,AN47),0)
+IF($AO$5="CO5",IF(AO47&lt;&gt;"",AO47,AP47),0)
+IF($AQ$5="CO5",IF(AQ47&lt;&gt;"",AQ47,AR47),0)
+IF($AS$5="CO5",IF(AS47&lt;&gt;"",AS47,AT47),0)</f>
        <v/>
      </c>
      <c r="BB47" s="29">
        <f>SUMPRODUCT(($E$5:$P$5="CO6")*(E47:P47))
+SUMPRODUCT(($AA$5:$AL$5="CO6")*(AA47:AL47))
+IF($Q$5="CO6",IF(Q47&lt;&gt;"",Q47,R47),0)
+IF($S$5="CO6",IF(S47&lt;&gt;"",S47,T47),0)
+IF($U$5="CO6",IF(U47&lt;&gt;"",U47,V47),0)
+IF($W$5="CO6",IF(W47&lt;&gt;"",W47,X47),0)
+IF($AM$5="CO6",IF(AM47&lt;&gt;"",AM47,AN47),0)
+IF($AO$5="CO6",IF(AO47&lt;&gt;"",AO47,AP47),0)
+IF($AQ$5="CO6",IF(AQ47&lt;&gt;"",AQ47,AR47),0)
+IF($AS$5="CO6",IF(AS47&lt;&gt;"",AS47,AT47),0)</f>
        <v/>
      </c>
      <c r="BD47" s="30" t="n">
        <v>12</v>
      </c>
      <c r="BE47" s="30" t="n">
        <v>14</v>
      </c>
      <c r="BF47" s="30" t="n">
        <v>14</v>
      </c>
      <c r="BG47" s="5" t="n"/>
      <c r="BH47" s="5" t="n"/>
      <c r="BI47" s="5" t="n"/>
      <c r="BJ47" s="25">
        <f>SUM(BD47:BI47)</f>
        <v/>
      </c>
      <c r="BL47" s="5" t="n">
        <v>8</v>
      </c>
      <c r="BM47" s="5" t="n">
        <v>8</v>
      </c>
      <c r="BN47" s="5" t="n">
        <v>12</v>
      </c>
      <c r="BO47" s="5" t="n">
        <v>12</v>
      </c>
      <c r="BP47" s="5" t="n"/>
      <c r="BQ47" s="5" t="n"/>
      <c r="BR47" s="33">
        <f>SUM(BL47:BQ47)</f>
        <v/>
      </c>
      <c r="BT47" s="36">
        <f>SUMPRODUCT(($AW$5:$BQ$5="CO1")*AW47:BQ47)</f>
        <v/>
      </c>
      <c r="BU47" s="37">
        <f>SUMPRODUCT(($AW$5:$BR$5="CO2")*AW47:BR47)</f>
        <v/>
      </c>
      <c r="BV47" s="37">
        <f>SUMPRODUCT(($AW$5:$BR$5="CO3")*AW47:BR47)</f>
        <v/>
      </c>
      <c r="BW47" s="37">
        <f>SUMPRODUCT(($AW$5:$BR$5="CO4")*AW47:BR47)</f>
        <v/>
      </c>
      <c r="BX47" s="37">
        <f>SUMPRODUCT(($AW$5:$BR$5="CO5")*AW47:BR47)</f>
        <v/>
      </c>
      <c r="BY47" s="37">
        <f>SUMPRODUCT(($AW$5:$BR$5="CO6")*AW47:BR47)</f>
        <v/>
      </c>
      <c r="BZ47" s="33">
        <f>SUM(BT47:BY47)</f>
        <v/>
      </c>
      <c r="CB47" s="38">
        <f>BT47/$BT$7*100</f>
        <v/>
      </c>
      <c r="CC47" s="38">
        <f>BU47/$BU$7*100</f>
        <v/>
      </c>
      <c r="CD47" s="38">
        <f>BV47/$BV$7*100</f>
        <v/>
      </c>
      <c r="CE47" s="38">
        <f>BW47/$BW$7*100</f>
        <v/>
      </c>
      <c r="CF47" s="38">
        <f>BX47/$BX$7*100</f>
        <v/>
      </c>
      <c r="CG47" s="38">
        <f>BY47/$BY$7*100</f>
        <v/>
      </c>
    </row>
    <row r="48" ht="15.5" customHeight="1">
      <c r="A48" s="43" t="n">
        <v>41</v>
      </c>
      <c r="B48" s="43" t="inlineStr">
        <is>
          <t>JEBA PRINCY J</t>
        </is>
      </c>
      <c r="C48" s="43" t="inlineStr">
        <is>
          <t>SECTION C</t>
        </is>
      </c>
      <c r="D48" s="4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28">
        <f>SUM(E48:P48)+(IF(Q48&lt;&gt;"",Q48,R48))+(IF(S48&lt;&gt;"",S48,T48))+(IF(U48&lt;&gt;"",U48,V48))+(IF(W48&lt;&gt;"",W48,X48))</f>
        <v/>
      </c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31">
        <f>SUM(AA48:AL48)+(IF(AM48&lt;&gt;"",AM48,AN48))+(IF(AO48&lt;&gt;"",AO48,AP48))+(IF(AQ48&lt;&gt;"",AQ48,AR48))+(IF(AS48&lt;&gt;"",AS48,AT48))</f>
        <v/>
      </c>
      <c r="AW48" s="29">
        <f>SUMPRODUCT(($E$5:$P$5="CO1")*(E48:P48))
+SUMPRODUCT(($AA$5:$AL$5="CO1")*(AA48:AL48))
+IF($Q$5="CO1",IF(Q48&lt;&gt;"",Q48,R48),0)
+IF($S$5="CO1",IF(S48&lt;&gt;"",S48,T48),0)
+IF($U$5="CO1",IF(U48&lt;&gt;"",U48,V48),0)
+IF($W$5="CO1",IF(W48&lt;&gt;"",W48,X48),0)
+IF($AM$5="CO1",IF(AM48&lt;&gt;"",AM48,AN48),0)
+IF($AO$5="CO1",IF(AO48&lt;&gt;"",AO48,AP48),0)
+IF($AQ$5="CO1",IF(AQ48&lt;&gt;"",AQ48,AR48),0)
+IF($AS$5="CO1",IF(AS48&lt;&gt;"",AS48,AT48),0)</f>
        <v/>
      </c>
      <c r="AX48" s="29">
        <f>SUMPRODUCT(($E$5:$P$5="CO2")*(E48:P48))
+SUMPRODUCT(($AA$5:$AL$5="CO2")*(AA48:AL48))
+IF($Q$5="CO2",IF(R48&lt;&gt;"",R48,S48),0)
+IF($S$5="CO2",IF(T48&lt;&gt;"",T48,U48),0)
+IF($U$5="CO2",IF(V48&lt;&gt;"",V48,W48),0)
+IF($W$5="CO2",IF(X48&lt;&gt;"",X48,Y48),0)
+IF($AM$5="CO2",IF(AN48&lt;&gt;"",AN48,AO48),0)
+IF($AO$5="CO2",IF(AP48&lt;&gt;"",AP48,AQ48),0)
+IF($AQ$5="CO2",IF(AR48&lt;&gt;"",AR48,AS48),0)
+IF($AS$5="CO2",IF(AT48&lt;&gt;"",AT48,AU48),0)</f>
        <v/>
      </c>
      <c r="AY48" s="29">
        <f>SUMPRODUCT(($E$5:$P$5="CO3")*(E48:P48))
+SUMPRODUCT(($AA$5:$AL$5="CO3")*(AA48:AL48))
+IF($Q$5="CO3",IF(Q48&lt;&gt;"",Q48,R48),0)
+IF($S$5="CO3",IF(S48&lt;&gt;"",S48,T48),0)
+IF($U$5="CO3",IF(U48&lt;&gt;"",U48,V48),0)
+IF($W$5="CO3",IF(W48&lt;&gt;"",W48,X48),0)
+IF($AM$5="CO3",IF(AM48&lt;&gt;"",AM48,AN48),0)
+IF($AO$5="CO3",IF(AO48&lt;&gt;"",AO48,AP48),0)
+IF($AQ$5="CO3",IF(AQ48&lt;&gt;"",AQ48,AR48),0)
+IF($AS$5="CO3",IF(AS48&lt;&gt;"",AS48,AT48),0)</f>
        <v/>
      </c>
      <c r="AZ48" s="29">
        <f>SUMPRODUCT(($E$5:$P$5="CO4")*(E48:P48))
+SUMPRODUCT(($AA$5:$AL$5="CO4")*(AA48:AL48))
+IF($Q$5="CO4",IF(Q48&lt;&gt;"",Q48,R48),0)
+IF($S$5="CO4",IF(S48&lt;&gt;"",S48,T48),0)
+IF($U$5="CO4",IF(U48&lt;&gt;"",U48,V48),0)
+IF($W$5="CO4",IF(W48&lt;&gt;"",W48,X48),0)
+IF($AM$5="CO4",IF(AM48&lt;&gt;"",AM48,AN48),0)
+IF($AO$5="CO4",IF(AO48&lt;&gt;"",AO48,AP48),0)
+IF($AQ$5="CO4",IF(AQ48&lt;&gt;"",AQ48,AR48),0)
+IF($AS$5="CO4",IF(AS48&lt;&gt;"",AS48,AT48),0)</f>
        <v/>
      </c>
      <c r="BA48" s="29">
        <f>SUMPRODUCT(($E$5:$P$5="CO5")*(E48:P48))
+SUMPRODUCT(($AA$5:$AL$5="CO5")*(AA48:AL48))
+IF($Q$5="CO5",IF(Q48&lt;&gt;"",Q48,R48),0)
+IF($S$5="CO5",IF(S48&lt;&gt;"",S48,T48),0)
+IF($U$5="CO5",IF(U48&lt;&gt;"",U48,V48),0)
+IF($W$5="CO5",IF(W48&lt;&gt;"",W48,X48),0)
+IF($AM$5="CO5",IF(AM48&lt;&gt;"",AM48,AN48),0)
+IF($AO$5="CO5",IF(AO48&lt;&gt;"",AO48,AP48),0)
+IF($AQ$5="CO5",IF(AQ48&lt;&gt;"",AQ48,AR48),0)
+IF($AS$5="CO5",IF(AS48&lt;&gt;"",AS48,AT48),0)</f>
        <v/>
      </c>
      <c r="BB48" s="29">
        <f>SUMPRODUCT(($E$5:$P$5="CO6")*(E48:P48))
+SUMPRODUCT(($AA$5:$AL$5="CO6")*(AA48:AL48))
+IF($Q$5="CO6",IF(Q48&lt;&gt;"",Q48,R48),0)
+IF($S$5="CO6",IF(S48&lt;&gt;"",S48,T48),0)
+IF($U$5="CO6",IF(U48&lt;&gt;"",U48,V48),0)
+IF($W$5="CO6",IF(W48&lt;&gt;"",W48,X48),0)
+IF($AM$5="CO6",IF(AM48&lt;&gt;"",AM48,AN48),0)
+IF($AO$5="CO6",IF(AO48&lt;&gt;"",AO48,AP48),0)
+IF($AQ$5="CO6",IF(AQ48&lt;&gt;"",AQ48,AR48),0)
+IF($AS$5="CO6",IF(AS48&lt;&gt;"",AS48,AT48),0)</f>
        <v/>
      </c>
      <c r="BD48" s="30" t="n">
        <v>12</v>
      </c>
      <c r="BE48" s="30" t="n">
        <v>14</v>
      </c>
      <c r="BF48" s="30" t="n">
        <v>14</v>
      </c>
      <c r="BG48" s="5" t="n"/>
      <c r="BH48" s="5" t="n"/>
      <c r="BI48" s="5" t="n"/>
      <c r="BJ48" s="25">
        <f>SUM(BD48:BI48)</f>
        <v/>
      </c>
      <c r="BL48" s="5" t="n">
        <v>8</v>
      </c>
      <c r="BM48" s="5" t="n">
        <v>8</v>
      </c>
      <c r="BN48" s="5" t="n">
        <v>12</v>
      </c>
      <c r="BO48" s="5" t="n">
        <v>12</v>
      </c>
      <c r="BP48" s="5" t="n"/>
      <c r="BQ48" s="5" t="n"/>
      <c r="BR48" s="33">
        <f>SUM(BL48:BQ48)</f>
        <v/>
      </c>
      <c r="BT48" s="36">
        <f>SUMPRODUCT(($AW$5:$BQ$5="CO1")*AW48:BQ48)</f>
        <v/>
      </c>
      <c r="BU48" s="37">
        <f>SUMPRODUCT(($AW$5:$BR$5="CO2")*AW48:BR48)</f>
        <v/>
      </c>
      <c r="BV48" s="37">
        <f>SUMPRODUCT(($AW$5:$BR$5="CO3")*AW48:BR48)</f>
        <v/>
      </c>
      <c r="BW48" s="37">
        <f>SUMPRODUCT(($AW$5:$BR$5="CO4")*AW48:BR48)</f>
        <v/>
      </c>
      <c r="BX48" s="37">
        <f>SUMPRODUCT(($AW$5:$BR$5="CO5")*AW48:BR48)</f>
        <v/>
      </c>
      <c r="BY48" s="37">
        <f>SUMPRODUCT(($AW$5:$BR$5="CO6")*AW48:BR48)</f>
        <v/>
      </c>
      <c r="BZ48" s="33">
        <f>SUM(BT48:BY48)</f>
        <v/>
      </c>
      <c r="CB48" s="38">
        <f>BT48/$BT$7*100</f>
        <v/>
      </c>
      <c r="CC48" s="38">
        <f>BU48/$BU$7*100</f>
        <v/>
      </c>
      <c r="CD48" s="38">
        <f>BV48/$BV$7*100</f>
        <v/>
      </c>
      <c r="CE48" s="38">
        <f>BW48/$BW$7*100</f>
        <v/>
      </c>
      <c r="CF48" s="38">
        <f>BX48/$BX$7*100</f>
        <v/>
      </c>
      <c r="CG48" s="38">
        <f>BY48/$BY$7*100</f>
        <v/>
      </c>
    </row>
    <row r="49" ht="15.5" customHeight="1">
      <c r="A49" s="43" t="n">
        <v>42</v>
      </c>
      <c r="B49" s="43" t="inlineStr">
        <is>
          <t>JEEVITHA G</t>
        </is>
      </c>
      <c r="C49" s="43" t="inlineStr">
        <is>
          <t>SECTION C</t>
        </is>
      </c>
      <c r="D49" s="4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28">
        <f>SUM(E49:P49)+(IF(Q49&lt;&gt;"",Q49,R49))+(IF(S49&lt;&gt;"",S49,T49))+(IF(U49&lt;&gt;"",U49,V49))+(IF(W49&lt;&gt;"",W49,X49))</f>
        <v/>
      </c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31">
        <f>SUM(AA49:AL49)+(IF(AM49&lt;&gt;"",AM49,AN49))+(IF(AO49&lt;&gt;"",AO49,AP49))+(IF(AQ49&lt;&gt;"",AQ49,AR49))+(IF(AS49&lt;&gt;"",AS49,AT49))</f>
        <v/>
      </c>
      <c r="AW49" s="29">
        <f>SUMPRODUCT(($E$5:$P$5="CO1")*(E49:P49))
+SUMPRODUCT(($AA$5:$AL$5="CO1")*(AA49:AL49))
+IF($Q$5="CO1",IF(Q49&lt;&gt;"",Q49,R49),0)
+IF($S$5="CO1",IF(S49&lt;&gt;"",S49,T49),0)
+IF($U$5="CO1",IF(U49&lt;&gt;"",U49,V49),0)
+IF($W$5="CO1",IF(W49&lt;&gt;"",W49,X49),0)
+IF($AM$5="CO1",IF(AM49&lt;&gt;"",AM49,AN49),0)
+IF($AO$5="CO1",IF(AO49&lt;&gt;"",AO49,AP49),0)
+IF($AQ$5="CO1",IF(AQ49&lt;&gt;"",AQ49,AR49),0)
+IF($AS$5="CO1",IF(AS49&lt;&gt;"",AS49,AT49),0)</f>
        <v/>
      </c>
      <c r="AX49" s="29">
        <f>SUMPRODUCT(($E$5:$P$5="CO2")*(E49:P49))
+SUMPRODUCT(($AA$5:$AL$5="CO2")*(AA49:AL49))
+IF($Q$5="CO2",IF(R49&lt;&gt;"",R49,S49),0)
+IF($S$5="CO2",IF(T49&lt;&gt;"",T49,U49),0)
+IF($U$5="CO2",IF(V49&lt;&gt;"",V49,W49),0)
+IF($W$5="CO2",IF(X49&lt;&gt;"",X49,Y49),0)
+IF($AM$5="CO2",IF(AN49&lt;&gt;"",AN49,AO49),0)
+IF($AO$5="CO2",IF(AP49&lt;&gt;"",AP49,AQ49),0)
+IF($AQ$5="CO2",IF(AR49&lt;&gt;"",AR49,AS49),0)
+IF($AS$5="CO2",IF(AT49&lt;&gt;"",AT49,AU49),0)</f>
        <v/>
      </c>
      <c r="AY49" s="29">
        <f>SUMPRODUCT(($E$5:$P$5="CO3")*(E49:P49))
+SUMPRODUCT(($AA$5:$AL$5="CO3")*(AA49:AL49))
+IF($Q$5="CO3",IF(Q49&lt;&gt;"",Q49,R49),0)
+IF($S$5="CO3",IF(S49&lt;&gt;"",S49,T49),0)
+IF($U$5="CO3",IF(U49&lt;&gt;"",U49,V49),0)
+IF($W$5="CO3",IF(W49&lt;&gt;"",W49,X49),0)
+IF($AM$5="CO3",IF(AM49&lt;&gt;"",AM49,AN49),0)
+IF($AO$5="CO3",IF(AO49&lt;&gt;"",AO49,AP49),0)
+IF($AQ$5="CO3",IF(AQ49&lt;&gt;"",AQ49,AR49),0)
+IF($AS$5="CO3",IF(AS49&lt;&gt;"",AS49,AT49),0)</f>
        <v/>
      </c>
      <c r="AZ49" s="29">
        <f>SUMPRODUCT(($E$5:$P$5="CO4")*(E49:P49))
+SUMPRODUCT(($AA$5:$AL$5="CO4")*(AA49:AL49))
+IF($Q$5="CO4",IF(Q49&lt;&gt;"",Q49,R49),0)
+IF($S$5="CO4",IF(S49&lt;&gt;"",S49,T49),0)
+IF($U$5="CO4",IF(U49&lt;&gt;"",U49,V49),0)
+IF($W$5="CO4",IF(W49&lt;&gt;"",W49,X49),0)
+IF($AM$5="CO4",IF(AM49&lt;&gt;"",AM49,AN49),0)
+IF($AO$5="CO4",IF(AO49&lt;&gt;"",AO49,AP49),0)
+IF($AQ$5="CO4",IF(AQ49&lt;&gt;"",AQ49,AR49),0)
+IF($AS$5="CO4",IF(AS49&lt;&gt;"",AS49,AT49),0)</f>
        <v/>
      </c>
      <c r="BA49" s="29">
        <f>SUMPRODUCT(($E$5:$P$5="CO5")*(E49:P49))
+SUMPRODUCT(($AA$5:$AL$5="CO5")*(AA49:AL49))
+IF($Q$5="CO5",IF(Q49&lt;&gt;"",Q49,R49),0)
+IF($S$5="CO5",IF(S49&lt;&gt;"",S49,T49),0)
+IF($U$5="CO5",IF(U49&lt;&gt;"",U49,V49),0)
+IF($W$5="CO5",IF(W49&lt;&gt;"",W49,X49),0)
+IF($AM$5="CO5",IF(AM49&lt;&gt;"",AM49,AN49),0)
+IF($AO$5="CO5",IF(AO49&lt;&gt;"",AO49,AP49),0)
+IF($AQ$5="CO5",IF(AQ49&lt;&gt;"",AQ49,AR49),0)
+IF($AS$5="CO5",IF(AS49&lt;&gt;"",AS49,AT49),0)</f>
        <v/>
      </c>
      <c r="BB49" s="29">
        <f>SUMPRODUCT(($E$5:$P$5="CO6")*(E49:P49))
+SUMPRODUCT(($AA$5:$AL$5="CO6")*(AA49:AL49))
+IF($Q$5="CO6",IF(Q49&lt;&gt;"",Q49,R49),0)
+IF($S$5="CO6",IF(S49&lt;&gt;"",S49,T49),0)
+IF($U$5="CO6",IF(U49&lt;&gt;"",U49,V49),0)
+IF($W$5="CO6",IF(W49&lt;&gt;"",W49,X49),0)
+IF($AM$5="CO6",IF(AM49&lt;&gt;"",AM49,AN49),0)
+IF($AO$5="CO6",IF(AO49&lt;&gt;"",AO49,AP49),0)
+IF($AQ$5="CO6",IF(AQ49&lt;&gt;"",AQ49,AR49),0)
+IF($AS$5="CO6",IF(AS49&lt;&gt;"",AS49,AT49),0)</f>
        <v/>
      </c>
      <c r="BD49" s="30" t="n">
        <v>12</v>
      </c>
      <c r="BE49" s="30" t="n">
        <v>14</v>
      </c>
      <c r="BF49" s="30" t="n">
        <v>14</v>
      </c>
      <c r="BG49" s="5" t="n"/>
      <c r="BH49" s="5" t="n"/>
      <c r="BI49" s="5" t="n"/>
      <c r="BJ49" s="25">
        <f>SUM(BD49:BI49)</f>
        <v/>
      </c>
      <c r="BL49" s="5" t="n">
        <v>8</v>
      </c>
      <c r="BM49" s="5" t="n">
        <v>8</v>
      </c>
      <c r="BN49" s="5" t="n">
        <v>12</v>
      </c>
      <c r="BO49" s="5" t="n">
        <v>12</v>
      </c>
      <c r="BP49" s="5" t="n"/>
      <c r="BQ49" s="5" t="n"/>
      <c r="BR49" s="33">
        <f>SUM(BL49:BQ49)</f>
        <v/>
      </c>
      <c r="BT49" s="36">
        <f>SUMPRODUCT(($AW$5:$BQ$5="CO1")*AW49:BQ49)</f>
        <v/>
      </c>
      <c r="BU49" s="37">
        <f>SUMPRODUCT(($AW$5:$BR$5="CO2")*AW49:BR49)</f>
        <v/>
      </c>
      <c r="BV49" s="37">
        <f>SUMPRODUCT(($AW$5:$BR$5="CO3")*AW49:BR49)</f>
        <v/>
      </c>
      <c r="BW49" s="37">
        <f>SUMPRODUCT(($AW$5:$BR$5="CO4")*AW49:BR49)</f>
        <v/>
      </c>
      <c r="BX49" s="37">
        <f>SUMPRODUCT(($AW$5:$BR$5="CO5")*AW49:BR49)</f>
        <v/>
      </c>
      <c r="BY49" s="37">
        <f>SUMPRODUCT(($AW$5:$BR$5="CO6")*AW49:BR49)</f>
        <v/>
      </c>
      <c r="BZ49" s="33">
        <f>SUM(BT49:BY49)</f>
        <v/>
      </c>
      <c r="CB49" s="38">
        <f>BT49/$BT$7*100</f>
        <v/>
      </c>
      <c r="CC49" s="38">
        <f>BU49/$BU$7*100</f>
        <v/>
      </c>
      <c r="CD49" s="38">
        <f>BV49/$BV$7*100</f>
        <v/>
      </c>
      <c r="CE49" s="38">
        <f>BW49/$BW$7*100</f>
        <v/>
      </c>
      <c r="CF49" s="38">
        <f>BX49/$BX$7*100</f>
        <v/>
      </c>
      <c r="CG49" s="38">
        <f>BY49/$BY$7*100</f>
        <v/>
      </c>
    </row>
    <row r="50" ht="15.5" customHeight="1">
      <c r="A50" s="43" t="n">
        <v>43</v>
      </c>
      <c r="B50" s="43" t="inlineStr">
        <is>
          <t>KAMALARANI M</t>
        </is>
      </c>
      <c r="C50" s="43" t="inlineStr">
        <is>
          <t>SECTION C</t>
        </is>
      </c>
      <c r="D50" s="4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28">
        <f>SUM(E50:P50)+(IF(Q50&lt;&gt;"",Q50,R50))+(IF(S50&lt;&gt;"",S50,T50))+(IF(U50&lt;&gt;"",U50,V50))+(IF(W50&lt;&gt;"",W50,X50))</f>
        <v/>
      </c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31">
        <f>SUM(AA50:AL50)+(IF(AM50&lt;&gt;"",AM50,AN50))+(IF(AO50&lt;&gt;"",AO50,AP50))+(IF(AQ50&lt;&gt;"",AQ50,AR50))+(IF(AS50&lt;&gt;"",AS50,AT50))</f>
        <v/>
      </c>
      <c r="AW50" s="29">
        <f>SUMPRODUCT(($E$5:$P$5="CO1")*(E50:P50))
+SUMPRODUCT(($AA$5:$AL$5="CO1")*(AA50:AL50))
+IF($Q$5="CO1",IF(Q50&lt;&gt;"",Q50,R50),0)
+IF($S$5="CO1",IF(S50&lt;&gt;"",S50,T50),0)
+IF($U$5="CO1",IF(U50&lt;&gt;"",U50,V50),0)
+IF($W$5="CO1",IF(W50&lt;&gt;"",W50,X50),0)
+IF($AM$5="CO1",IF(AM50&lt;&gt;"",AM50,AN50),0)
+IF($AO$5="CO1",IF(AO50&lt;&gt;"",AO50,AP50),0)
+IF($AQ$5="CO1",IF(AQ50&lt;&gt;"",AQ50,AR50),0)
+IF($AS$5="CO1",IF(AS50&lt;&gt;"",AS50,AT50),0)</f>
        <v/>
      </c>
      <c r="AX50" s="29">
        <f>SUMPRODUCT(($E$5:$P$5="CO2")*(E50:P50))
+SUMPRODUCT(($AA$5:$AL$5="CO2")*(AA50:AL50))
+IF($Q$5="CO2",IF(R50&lt;&gt;"",R50,S50),0)
+IF($S$5="CO2",IF(T50&lt;&gt;"",T50,U50),0)
+IF($U$5="CO2",IF(V50&lt;&gt;"",V50,W50),0)
+IF($W$5="CO2",IF(X50&lt;&gt;"",X50,Y50),0)
+IF($AM$5="CO2",IF(AN50&lt;&gt;"",AN50,AO50),0)
+IF($AO$5="CO2",IF(AP50&lt;&gt;"",AP50,AQ50),0)
+IF($AQ$5="CO2",IF(AR50&lt;&gt;"",AR50,AS50),0)
+IF($AS$5="CO2",IF(AT50&lt;&gt;"",AT50,AU50),0)</f>
        <v/>
      </c>
      <c r="AY50" s="29">
        <f>SUMPRODUCT(($E$5:$P$5="CO3")*(E50:P50))
+SUMPRODUCT(($AA$5:$AL$5="CO3")*(AA50:AL50))
+IF($Q$5="CO3",IF(Q50&lt;&gt;"",Q50,R50),0)
+IF($S$5="CO3",IF(S50&lt;&gt;"",S50,T50),0)
+IF($U$5="CO3",IF(U50&lt;&gt;"",U50,V50),0)
+IF($W$5="CO3",IF(W50&lt;&gt;"",W50,X50),0)
+IF($AM$5="CO3",IF(AM50&lt;&gt;"",AM50,AN50),0)
+IF($AO$5="CO3",IF(AO50&lt;&gt;"",AO50,AP50),0)
+IF($AQ$5="CO3",IF(AQ50&lt;&gt;"",AQ50,AR50),0)
+IF($AS$5="CO3",IF(AS50&lt;&gt;"",AS50,AT50),0)</f>
        <v/>
      </c>
      <c r="AZ50" s="29">
        <f>SUMPRODUCT(($E$5:$P$5="CO4")*(E50:P50))
+SUMPRODUCT(($AA$5:$AL$5="CO4")*(AA50:AL50))
+IF($Q$5="CO4",IF(Q50&lt;&gt;"",Q50,R50),0)
+IF($S$5="CO4",IF(S50&lt;&gt;"",S50,T50),0)
+IF($U$5="CO4",IF(U50&lt;&gt;"",U50,V50),0)
+IF($W$5="CO4",IF(W50&lt;&gt;"",W50,X50),0)
+IF($AM$5="CO4",IF(AM50&lt;&gt;"",AM50,AN50),0)
+IF($AO$5="CO4",IF(AO50&lt;&gt;"",AO50,AP50),0)
+IF($AQ$5="CO4",IF(AQ50&lt;&gt;"",AQ50,AR50),0)
+IF($AS$5="CO4",IF(AS50&lt;&gt;"",AS50,AT50),0)</f>
        <v/>
      </c>
      <c r="BA50" s="29">
        <f>SUMPRODUCT(($E$5:$P$5="CO5")*(E50:P50))
+SUMPRODUCT(($AA$5:$AL$5="CO5")*(AA50:AL50))
+IF($Q$5="CO5",IF(Q50&lt;&gt;"",Q50,R50),0)
+IF($S$5="CO5",IF(S50&lt;&gt;"",S50,T50),0)
+IF($U$5="CO5",IF(U50&lt;&gt;"",U50,V50),0)
+IF($W$5="CO5",IF(W50&lt;&gt;"",W50,X50),0)
+IF($AM$5="CO5",IF(AM50&lt;&gt;"",AM50,AN50),0)
+IF($AO$5="CO5",IF(AO50&lt;&gt;"",AO50,AP50),0)
+IF($AQ$5="CO5",IF(AQ50&lt;&gt;"",AQ50,AR50),0)
+IF($AS$5="CO5",IF(AS50&lt;&gt;"",AS50,AT50),0)</f>
        <v/>
      </c>
      <c r="BB50" s="29">
        <f>SUMPRODUCT(($E$5:$P$5="CO6")*(E50:P50))
+SUMPRODUCT(($AA$5:$AL$5="CO6")*(AA50:AL50))
+IF($Q$5="CO6",IF(Q50&lt;&gt;"",Q50,R50),0)
+IF($S$5="CO6",IF(S50&lt;&gt;"",S50,T50),0)
+IF($U$5="CO6",IF(U50&lt;&gt;"",U50,V50),0)
+IF($W$5="CO6",IF(W50&lt;&gt;"",W50,X50),0)
+IF($AM$5="CO6",IF(AM50&lt;&gt;"",AM50,AN50),0)
+IF($AO$5="CO6",IF(AO50&lt;&gt;"",AO50,AP50),0)
+IF($AQ$5="CO6",IF(AQ50&lt;&gt;"",AQ50,AR50),0)
+IF($AS$5="CO6",IF(AS50&lt;&gt;"",AS50,AT50),0)</f>
        <v/>
      </c>
      <c r="BD50" s="30" t="n">
        <v>12</v>
      </c>
      <c r="BE50" s="30" t="n">
        <v>14</v>
      </c>
      <c r="BF50" s="30" t="n">
        <v>14</v>
      </c>
      <c r="BG50" s="5" t="n"/>
      <c r="BH50" s="5" t="n"/>
      <c r="BI50" s="5" t="n"/>
      <c r="BJ50" s="25">
        <f>SUM(BD50:BI50)</f>
        <v/>
      </c>
      <c r="BL50" s="5" t="n">
        <v>8</v>
      </c>
      <c r="BM50" s="5" t="n">
        <v>8</v>
      </c>
      <c r="BN50" s="5" t="n">
        <v>12</v>
      </c>
      <c r="BO50" s="5" t="n">
        <v>12</v>
      </c>
      <c r="BP50" s="5" t="n"/>
      <c r="BQ50" s="5" t="n"/>
      <c r="BR50" s="33">
        <f>SUM(BL50:BQ50)</f>
        <v/>
      </c>
      <c r="BT50" s="36">
        <f>SUMPRODUCT(($AW$5:$BQ$5="CO1")*AW50:BQ50)</f>
        <v/>
      </c>
      <c r="BU50" s="37">
        <f>SUMPRODUCT(($AW$5:$BR$5="CO2")*AW50:BR50)</f>
        <v/>
      </c>
      <c r="BV50" s="37">
        <f>SUMPRODUCT(($AW$5:$BR$5="CO3")*AW50:BR50)</f>
        <v/>
      </c>
      <c r="BW50" s="37">
        <f>SUMPRODUCT(($AW$5:$BR$5="CO4")*AW50:BR50)</f>
        <v/>
      </c>
      <c r="BX50" s="37">
        <f>SUMPRODUCT(($AW$5:$BR$5="CO5")*AW50:BR50)</f>
        <v/>
      </c>
      <c r="BY50" s="37">
        <f>SUMPRODUCT(($AW$5:$BR$5="CO6")*AW50:BR50)</f>
        <v/>
      </c>
      <c r="BZ50" s="33">
        <f>SUM(BT50:BY50)</f>
        <v/>
      </c>
      <c r="CB50" s="38">
        <f>BT50/$BT$7*100</f>
        <v/>
      </c>
      <c r="CC50" s="38">
        <f>BU50/$BU$7*100</f>
        <v/>
      </c>
      <c r="CD50" s="38">
        <f>BV50/$BV$7*100</f>
        <v/>
      </c>
      <c r="CE50" s="38">
        <f>BW50/$BW$7*100</f>
        <v/>
      </c>
      <c r="CF50" s="38">
        <f>BX50/$BX$7*100</f>
        <v/>
      </c>
      <c r="CG50" s="38">
        <f>BY50/$BY$7*100</f>
        <v/>
      </c>
    </row>
    <row r="51" ht="15.5" customHeight="1">
      <c r="A51" s="43" t="n">
        <v>44</v>
      </c>
      <c r="B51" s="43" t="inlineStr">
        <is>
          <t>KANNIKA K H</t>
        </is>
      </c>
      <c r="C51" s="43" t="inlineStr">
        <is>
          <t>SECTION C</t>
        </is>
      </c>
      <c r="D51" s="4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28">
        <f>SUM(E51:P51)+(IF(Q51&lt;&gt;"",Q51,R51))+(IF(S51&lt;&gt;"",S51,T51))+(IF(U51&lt;&gt;"",U51,V51))+(IF(W51&lt;&gt;"",W51,X51))</f>
        <v/>
      </c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31">
        <f>SUM(AA51:AL51)+(IF(AM51&lt;&gt;"",AM51,AN51))+(IF(AO51&lt;&gt;"",AO51,AP51))+(IF(AQ51&lt;&gt;"",AQ51,AR51))+(IF(AS51&lt;&gt;"",AS51,AT51))</f>
        <v/>
      </c>
      <c r="AW51" s="29">
        <f>SUMPRODUCT(($E$5:$P$5="CO1")*(E51:P51))
+SUMPRODUCT(($AA$5:$AL$5="CO1")*(AA51:AL51))
+IF($Q$5="CO1",IF(Q51&lt;&gt;"",Q51,R51),0)
+IF($S$5="CO1",IF(S51&lt;&gt;"",S51,T51),0)
+IF($U$5="CO1",IF(U51&lt;&gt;"",U51,V51),0)
+IF($W$5="CO1",IF(W51&lt;&gt;"",W51,X51),0)
+IF($AM$5="CO1",IF(AM51&lt;&gt;"",AM51,AN51),0)
+IF($AO$5="CO1",IF(AO51&lt;&gt;"",AO51,AP51),0)
+IF($AQ$5="CO1",IF(AQ51&lt;&gt;"",AQ51,AR51),0)
+IF($AS$5="CO1",IF(AS51&lt;&gt;"",AS51,AT51),0)</f>
        <v/>
      </c>
      <c r="AX51" s="29">
        <f>SUMPRODUCT(($E$5:$P$5="CO2")*(E51:P51))
+SUMPRODUCT(($AA$5:$AL$5="CO2")*(AA51:AL51))
+IF($Q$5="CO2",IF(R51&lt;&gt;"",R51,S51),0)
+IF($S$5="CO2",IF(T51&lt;&gt;"",T51,U51),0)
+IF($U$5="CO2",IF(V51&lt;&gt;"",V51,W51),0)
+IF($W$5="CO2",IF(X51&lt;&gt;"",X51,Y51),0)
+IF($AM$5="CO2",IF(AN51&lt;&gt;"",AN51,AO51),0)
+IF($AO$5="CO2",IF(AP51&lt;&gt;"",AP51,AQ51),0)
+IF($AQ$5="CO2",IF(AR51&lt;&gt;"",AR51,AS51),0)
+IF($AS$5="CO2",IF(AT51&lt;&gt;"",AT51,AU51),0)</f>
        <v/>
      </c>
      <c r="AY51" s="29">
        <f>SUMPRODUCT(($E$5:$P$5="CO3")*(E51:P51))
+SUMPRODUCT(($AA$5:$AL$5="CO3")*(AA51:AL51))
+IF($Q$5="CO3",IF(Q51&lt;&gt;"",Q51,R51),0)
+IF($S$5="CO3",IF(S51&lt;&gt;"",S51,T51),0)
+IF($U$5="CO3",IF(U51&lt;&gt;"",U51,V51),0)
+IF($W$5="CO3",IF(W51&lt;&gt;"",W51,X51),0)
+IF($AM$5="CO3",IF(AM51&lt;&gt;"",AM51,AN51),0)
+IF($AO$5="CO3",IF(AO51&lt;&gt;"",AO51,AP51),0)
+IF($AQ$5="CO3",IF(AQ51&lt;&gt;"",AQ51,AR51),0)
+IF($AS$5="CO3",IF(AS51&lt;&gt;"",AS51,AT51),0)</f>
        <v/>
      </c>
      <c r="AZ51" s="29">
        <f>SUMPRODUCT(($E$5:$P$5="CO4")*(E51:P51))
+SUMPRODUCT(($AA$5:$AL$5="CO4")*(AA51:AL51))
+IF($Q$5="CO4",IF(Q51&lt;&gt;"",Q51,R51),0)
+IF($S$5="CO4",IF(S51&lt;&gt;"",S51,T51),0)
+IF($U$5="CO4",IF(U51&lt;&gt;"",U51,V51),0)
+IF($W$5="CO4",IF(W51&lt;&gt;"",W51,X51),0)
+IF($AM$5="CO4",IF(AM51&lt;&gt;"",AM51,AN51),0)
+IF($AO$5="CO4",IF(AO51&lt;&gt;"",AO51,AP51),0)
+IF($AQ$5="CO4",IF(AQ51&lt;&gt;"",AQ51,AR51),0)
+IF($AS$5="CO4",IF(AS51&lt;&gt;"",AS51,AT51),0)</f>
        <v/>
      </c>
      <c r="BA51" s="29">
        <f>SUMPRODUCT(($E$5:$P$5="CO5")*(E51:P51))
+SUMPRODUCT(($AA$5:$AL$5="CO5")*(AA51:AL51))
+IF($Q$5="CO5",IF(Q51&lt;&gt;"",Q51,R51),0)
+IF($S$5="CO5",IF(S51&lt;&gt;"",S51,T51),0)
+IF($U$5="CO5",IF(U51&lt;&gt;"",U51,V51),0)
+IF($W$5="CO5",IF(W51&lt;&gt;"",W51,X51),0)
+IF($AM$5="CO5",IF(AM51&lt;&gt;"",AM51,AN51),0)
+IF($AO$5="CO5",IF(AO51&lt;&gt;"",AO51,AP51),0)
+IF($AQ$5="CO5",IF(AQ51&lt;&gt;"",AQ51,AR51),0)
+IF($AS$5="CO5",IF(AS51&lt;&gt;"",AS51,AT51),0)</f>
        <v/>
      </c>
      <c r="BB51" s="29">
        <f>SUMPRODUCT(($E$5:$P$5="CO6")*(E51:P51))
+SUMPRODUCT(($AA$5:$AL$5="CO6")*(AA51:AL51))
+IF($Q$5="CO6",IF(Q51&lt;&gt;"",Q51,R51),0)
+IF($S$5="CO6",IF(S51&lt;&gt;"",S51,T51),0)
+IF($U$5="CO6",IF(U51&lt;&gt;"",U51,V51),0)
+IF($W$5="CO6",IF(W51&lt;&gt;"",W51,X51),0)
+IF($AM$5="CO6",IF(AM51&lt;&gt;"",AM51,AN51),0)
+IF($AO$5="CO6",IF(AO51&lt;&gt;"",AO51,AP51),0)
+IF($AQ$5="CO6",IF(AQ51&lt;&gt;"",AQ51,AR51),0)
+IF($AS$5="CO6",IF(AS51&lt;&gt;"",AS51,AT51),0)</f>
        <v/>
      </c>
      <c r="BD51" s="30" t="n">
        <v>12</v>
      </c>
      <c r="BE51" s="30" t="n">
        <v>14</v>
      </c>
      <c r="BF51" s="30" t="n">
        <v>14</v>
      </c>
      <c r="BG51" s="5" t="n"/>
      <c r="BH51" s="5" t="n"/>
      <c r="BI51" s="5" t="n"/>
      <c r="BJ51" s="25">
        <f>SUM(BD51:BI51)</f>
        <v/>
      </c>
      <c r="BL51" s="5" t="n">
        <v>8</v>
      </c>
      <c r="BM51" s="5" t="n">
        <v>8</v>
      </c>
      <c r="BN51" s="5" t="n">
        <v>12</v>
      </c>
      <c r="BO51" s="5" t="n">
        <v>12</v>
      </c>
      <c r="BP51" s="5" t="n"/>
      <c r="BQ51" s="5" t="n"/>
      <c r="BR51" s="33">
        <f>SUM(BL51:BQ51)</f>
        <v/>
      </c>
      <c r="BT51" s="36">
        <f>SUMPRODUCT(($AW$5:$BQ$5="CO1")*AW51:BQ51)</f>
        <v/>
      </c>
      <c r="BU51" s="37">
        <f>SUMPRODUCT(($AW$5:$BR$5="CO2")*AW51:BR51)</f>
        <v/>
      </c>
      <c r="BV51" s="37">
        <f>SUMPRODUCT(($AW$5:$BR$5="CO3")*AW51:BR51)</f>
        <v/>
      </c>
      <c r="BW51" s="37">
        <f>SUMPRODUCT(($AW$5:$BR$5="CO4")*AW51:BR51)</f>
        <v/>
      </c>
      <c r="BX51" s="37">
        <f>SUMPRODUCT(($AW$5:$BR$5="CO5")*AW51:BR51)</f>
        <v/>
      </c>
      <c r="BY51" s="37">
        <f>SUMPRODUCT(($AW$5:$BR$5="CO6")*AW51:BR51)</f>
        <v/>
      </c>
      <c r="BZ51" s="33">
        <f>SUM(BT51:BY51)</f>
        <v/>
      </c>
      <c r="CB51" s="38">
        <f>BT51/$BT$7*100</f>
        <v/>
      </c>
      <c r="CC51" s="38">
        <f>BU51/$BU$7*100</f>
        <v/>
      </c>
      <c r="CD51" s="38">
        <f>BV51/$BV$7*100</f>
        <v/>
      </c>
      <c r="CE51" s="38">
        <f>BW51/$BW$7*100</f>
        <v/>
      </c>
      <c r="CF51" s="38">
        <f>BX51/$BX$7*100</f>
        <v/>
      </c>
      <c r="CG51" s="38">
        <f>BY51/$BY$7*100</f>
        <v/>
      </c>
    </row>
    <row r="52" ht="15.5" customHeight="1">
      <c r="A52" s="43" t="n">
        <v>45</v>
      </c>
      <c r="B52" s="43" t="inlineStr">
        <is>
          <t>KARTHIGA N</t>
        </is>
      </c>
      <c r="C52" s="43" t="inlineStr">
        <is>
          <t>SECTION C</t>
        </is>
      </c>
      <c r="D52" s="4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28">
        <f>SUM(E52:P52)+(IF(Q52&lt;&gt;"",Q52,R52))+(IF(S52&lt;&gt;"",S52,T52))+(IF(U52&lt;&gt;"",U52,V52))+(IF(W52&lt;&gt;"",W52,X52))</f>
        <v/>
      </c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31">
        <f>SUM(AA52:AL52)+(IF(AM52&lt;&gt;"",AM52,AN52))+(IF(AO52&lt;&gt;"",AO52,AP52))+(IF(AQ52&lt;&gt;"",AQ52,AR52))+(IF(AS52&lt;&gt;"",AS52,AT52))</f>
        <v/>
      </c>
      <c r="AW52" s="29">
        <f>SUMPRODUCT(($E$5:$P$5="CO1")*(E52:P52))
+SUMPRODUCT(($AA$5:$AL$5="CO1")*(AA52:AL52))
+IF($Q$5="CO1",IF(Q52&lt;&gt;"",Q52,R52),0)
+IF($S$5="CO1",IF(S52&lt;&gt;"",S52,T52),0)
+IF($U$5="CO1",IF(U52&lt;&gt;"",U52,V52),0)
+IF($W$5="CO1",IF(W52&lt;&gt;"",W52,X52),0)
+IF($AM$5="CO1",IF(AM52&lt;&gt;"",AM52,AN52),0)
+IF($AO$5="CO1",IF(AO52&lt;&gt;"",AO52,AP52),0)
+IF($AQ$5="CO1",IF(AQ52&lt;&gt;"",AQ52,AR52),0)
+IF($AS$5="CO1",IF(AS52&lt;&gt;"",AS52,AT52),0)</f>
        <v/>
      </c>
      <c r="AX52" s="29">
        <f>SUMPRODUCT(($E$5:$P$5="CO2")*(E52:P52))
+SUMPRODUCT(($AA$5:$AL$5="CO2")*(AA52:AL52))
+IF($Q$5="CO2",IF(R52&lt;&gt;"",R52,S52),0)
+IF($S$5="CO2",IF(T52&lt;&gt;"",T52,U52),0)
+IF($U$5="CO2",IF(V52&lt;&gt;"",V52,W52),0)
+IF($W$5="CO2",IF(X52&lt;&gt;"",X52,Y52),0)
+IF($AM$5="CO2",IF(AN52&lt;&gt;"",AN52,AO52),0)
+IF($AO$5="CO2",IF(AP52&lt;&gt;"",AP52,AQ52),0)
+IF($AQ$5="CO2",IF(AR52&lt;&gt;"",AR52,AS52),0)
+IF($AS$5="CO2",IF(AT52&lt;&gt;"",AT52,AU52),0)</f>
        <v/>
      </c>
      <c r="AY52" s="29">
        <f>SUMPRODUCT(($E$5:$P$5="CO3")*(E52:P52))
+SUMPRODUCT(($AA$5:$AL$5="CO3")*(AA52:AL52))
+IF($Q$5="CO3",IF(Q52&lt;&gt;"",Q52,R52),0)
+IF($S$5="CO3",IF(S52&lt;&gt;"",S52,T52),0)
+IF($U$5="CO3",IF(U52&lt;&gt;"",U52,V52),0)
+IF($W$5="CO3",IF(W52&lt;&gt;"",W52,X52),0)
+IF($AM$5="CO3",IF(AM52&lt;&gt;"",AM52,AN52),0)
+IF($AO$5="CO3",IF(AO52&lt;&gt;"",AO52,AP52),0)
+IF($AQ$5="CO3",IF(AQ52&lt;&gt;"",AQ52,AR52),0)
+IF($AS$5="CO3",IF(AS52&lt;&gt;"",AS52,AT52),0)</f>
        <v/>
      </c>
      <c r="AZ52" s="29">
        <f>SUMPRODUCT(($E$5:$P$5="CO4")*(E52:P52))
+SUMPRODUCT(($AA$5:$AL$5="CO4")*(AA52:AL52))
+IF($Q$5="CO4",IF(Q52&lt;&gt;"",Q52,R52),0)
+IF($S$5="CO4",IF(S52&lt;&gt;"",S52,T52),0)
+IF($U$5="CO4",IF(U52&lt;&gt;"",U52,V52),0)
+IF($W$5="CO4",IF(W52&lt;&gt;"",W52,X52),0)
+IF($AM$5="CO4",IF(AM52&lt;&gt;"",AM52,AN52),0)
+IF($AO$5="CO4",IF(AO52&lt;&gt;"",AO52,AP52),0)
+IF($AQ$5="CO4",IF(AQ52&lt;&gt;"",AQ52,AR52),0)
+IF($AS$5="CO4",IF(AS52&lt;&gt;"",AS52,AT52),0)</f>
        <v/>
      </c>
      <c r="BA52" s="29">
        <f>SUMPRODUCT(($E$5:$P$5="CO5")*(E52:P52))
+SUMPRODUCT(($AA$5:$AL$5="CO5")*(AA52:AL52))
+IF($Q$5="CO5",IF(Q52&lt;&gt;"",Q52,R52),0)
+IF($S$5="CO5",IF(S52&lt;&gt;"",S52,T52),0)
+IF($U$5="CO5",IF(U52&lt;&gt;"",U52,V52),0)
+IF($W$5="CO5",IF(W52&lt;&gt;"",W52,X52),0)
+IF($AM$5="CO5",IF(AM52&lt;&gt;"",AM52,AN52),0)
+IF($AO$5="CO5",IF(AO52&lt;&gt;"",AO52,AP52),0)
+IF($AQ$5="CO5",IF(AQ52&lt;&gt;"",AQ52,AR52),0)
+IF($AS$5="CO5",IF(AS52&lt;&gt;"",AS52,AT52),0)</f>
        <v/>
      </c>
      <c r="BB52" s="29">
        <f>SUMPRODUCT(($E$5:$P$5="CO6")*(E52:P52))
+SUMPRODUCT(($AA$5:$AL$5="CO6")*(AA52:AL52))
+IF($Q$5="CO6",IF(Q52&lt;&gt;"",Q52,R52),0)
+IF($S$5="CO6",IF(S52&lt;&gt;"",S52,T52),0)
+IF($U$5="CO6",IF(U52&lt;&gt;"",U52,V52),0)
+IF($W$5="CO6",IF(W52&lt;&gt;"",W52,X52),0)
+IF($AM$5="CO6",IF(AM52&lt;&gt;"",AM52,AN52),0)
+IF($AO$5="CO6",IF(AO52&lt;&gt;"",AO52,AP52),0)
+IF($AQ$5="CO6",IF(AQ52&lt;&gt;"",AQ52,AR52),0)
+IF($AS$5="CO6",IF(AS52&lt;&gt;"",AS52,AT52),0)</f>
        <v/>
      </c>
      <c r="BD52" s="30" t="n">
        <v>12</v>
      </c>
      <c r="BE52" s="30" t="n">
        <v>14</v>
      </c>
      <c r="BF52" s="30" t="n">
        <v>14</v>
      </c>
      <c r="BG52" s="5" t="n"/>
      <c r="BH52" s="5" t="n"/>
      <c r="BI52" s="5" t="n"/>
      <c r="BJ52" s="25">
        <f>SUM(BD52:BI52)</f>
        <v/>
      </c>
      <c r="BL52" s="5" t="n">
        <v>8</v>
      </c>
      <c r="BM52" s="5" t="n">
        <v>8</v>
      </c>
      <c r="BN52" s="5" t="n">
        <v>12</v>
      </c>
      <c r="BO52" s="5" t="n">
        <v>12</v>
      </c>
      <c r="BP52" s="5" t="n"/>
      <c r="BQ52" s="5" t="n"/>
      <c r="BR52" s="33">
        <f>SUM(BL52:BQ52)</f>
        <v/>
      </c>
      <c r="BT52" s="36">
        <f>SUMPRODUCT(($AW$5:$BQ$5="CO1")*AW52:BQ52)</f>
        <v/>
      </c>
      <c r="BU52" s="37">
        <f>SUMPRODUCT(($AW$5:$BR$5="CO2")*AW52:BR52)</f>
        <v/>
      </c>
      <c r="BV52" s="37">
        <f>SUMPRODUCT(($AW$5:$BR$5="CO3")*AW52:BR52)</f>
        <v/>
      </c>
      <c r="BW52" s="37">
        <f>SUMPRODUCT(($AW$5:$BR$5="CO4")*AW52:BR52)</f>
        <v/>
      </c>
      <c r="BX52" s="37">
        <f>SUMPRODUCT(($AW$5:$BR$5="CO5")*AW52:BR52)</f>
        <v/>
      </c>
      <c r="BY52" s="37">
        <f>SUMPRODUCT(($AW$5:$BR$5="CO6")*AW52:BR52)</f>
        <v/>
      </c>
      <c r="BZ52" s="33">
        <f>SUM(BT52:BY52)</f>
        <v/>
      </c>
      <c r="CB52" s="38">
        <f>BT52/$BT$7*100</f>
        <v/>
      </c>
      <c r="CC52" s="38">
        <f>BU52/$BU$7*100</f>
        <v/>
      </c>
      <c r="CD52" s="38">
        <f>BV52/$BV$7*100</f>
        <v/>
      </c>
      <c r="CE52" s="38">
        <f>BW52/$BW$7*100</f>
        <v/>
      </c>
      <c r="CF52" s="38">
        <f>BX52/$BX$7*100</f>
        <v/>
      </c>
      <c r="CG52" s="38">
        <f>BY52/$BY$7*100</f>
        <v/>
      </c>
    </row>
    <row r="53" ht="15.5" customHeight="1">
      <c r="A53" s="43" t="n">
        <v>46</v>
      </c>
      <c r="B53" s="43" t="inlineStr">
        <is>
          <t>MAHA SWETHA R</t>
        </is>
      </c>
      <c r="C53" s="43" t="inlineStr">
        <is>
          <t>SECTION C</t>
        </is>
      </c>
      <c r="D53" s="42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28">
        <f>SUM(E53:P53)+(IF(Q53&lt;&gt;"",Q53,R53))+(IF(S53&lt;&gt;"",S53,T53))+(IF(U53&lt;&gt;"",U53,V53))+(IF(W53&lt;&gt;"",W53,X53))</f>
        <v/>
      </c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31">
        <f>SUM(AA53:AL53)+(IF(AM53&lt;&gt;"",AM53,AN53))+(IF(AO53&lt;&gt;"",AO53,AP53))+(IF(AQ53&lt;&gt;"",AQ53,AR53))+(IF(AS53&lt;&gt;"",AS53,AT53))</f>
        <v/>
      </c>
      <c r="AW53" s="29">
        <f>SUMPRODUCT(($E$5:$P$5="CO1")*(E53:P53))
+SUMPRODUCT(($AA$5:$AL$5="CO1")*(AA53:AL53))
+IF($Q$5="CO1",IF(Q53&lt;&gt;"",Q53,R53),0)
+IF($S$5="CO1",IF(S53&lt;&gt;"",S53,T53),0)
+IF($U$5="CO1",IF(U53&lt;&gt;"",U53,V53),0)
+IF($W$5="CO1",IF(W53&lt;&gt;"",W53,X53),0)
+IF($AM$5="CO1",IF(AM53&lt;&gt;"",AM53,AN53),0)
+IF($AO$5="CO1",IF(AO53&lt;&gt;"",AO53,AP53),0)
+IF($AQ$5="CO1",IF(AQ53&lt;&gt;"",AQ53,AR53),0)
+IF($AS$5="CO1",IF(AS53&lt;&gt;"",AS53,AT53),0)</f>
        <v/>
      </c>
      <c r="AX53" s="29">
        <f>SUMPRODUCT(($E$5:$P$5="CO2")*(E53:P53))
+SUMPRODUCT(($AA$5:$AL$5="CO2")*(AA53:AL53))
+IF($Q$5="CO2",IF(R53&lt;&gt;"",R53,S53),0)
+IF($S$5="CO2",IF(T53&lt;&gt;"",T53,U53),0)
+IF($U$5="CO2",IF(V53&lt;&gt;"",V53,W53),0)
+IF($W$5="CO2",IF(X53&lt;&gt;"",X53,Y53),0)
+IF($AM$5="CO2",IF(AN53&lt;&gt;"",AN53,AO53),0)
+IF($AO$5="CO2",IF(AP53&lt;&gt;"",AP53,AQ53),0)
+IF($AQ$5="CO2",IF(AR53&lt;&gt;"",AR53,AS53),0)
+IF($AS$5="CO2",IF(AT53&lt;&gt;"",AT53,AU53),0)</f>
        <v/>
      </c>
      <c r="AY53" s="29">
        <f>SUMPRODUCT(($E$5:$P$5="CO3")*(E53:P53))
+SUMPRODUCT(($AA$5:$AL$5="CO3")*(AA53:AL53))
+IF($Q$5="CO3",IF(Q53&lt;&gt;"",Q53,R53),0)
+IF($S$5="CO3",IF(S53&lt;&gt;"",S53,T53),0)
+IF($U$5="CO3",IF(U53&lt;&gt;"",U53,V53),0)
+IF($W$5="CO3",IF(W53&lt;&gt;"",W53,X53),0)
+IF($AM$5="CO3",IF(AM53&lt;&gt;"",AM53,AN53),0)
+IF($AO$5="CO3",IF(AO53&lt;&gt;"",AO53,AP53),0)
+IF($AQ$5="CO3",IF(AQ53&lt;&gt;"",AQ53,AR53),0)
+IF($AS$5="CO3",IF(AS53&lt;&gt;"",AS53,AT53),0)</f>
        <v/>
      </c>
      <c r="AZ53" s="29">
        <f>SUMPRODUCT(($E$5:$P$5="CO4")*(E53:P53))
+SUMPRODUCT(($AA$5:$AL$5="CO4")*(AA53:AL53))
+IF($Q$5="CO4",IF(Q53&lt;&gt;"",Q53,R53),0)
+IF($S$5="CO4",IF(S53&lt;&gt;"",S53,T53),0)
+IF($U$5="CO4",IF(U53&lt;&gt;"",U53,V53),0)
+IF($W$5="CO4",IF(W53&lt;&gt;"",W53,X53),0)
+IF($AM$5="CO4",IF(AM53&lt;&gt;"",AM53,AN53),0)
+IF($AO$5="CO4",IF(AO53&lt;&gt;"",AO53,AP53),0)
+IF($AQ$5="CO4",IF(AQ53&lt;&gt;"",AQ53,AR53),0)
+IF($AS$5="CO4",IF(AS53&lt;&gt;"",AS53,AT53),0)</f>
        <v/>
      </c>
      <c r="BA53" s="29">
        <f>SUMPRODUCT(($E$5:$P$5="CO5")*(E53:P53))
+SUMPRODUCT(($AA$5:$AL$5="CO5")*(AA53:AL53))
+IF($Q$5="CO5",IF(Q53&lt;&gt;"",Q53,R53),0)
+IF($S$5="CO5",IF(S53&lt;&gt;"",S53,T53),0)
+IF($U$5="CO5",IF(U53&lt;&gt;"",U53,V53),0)
+IF($W$5="CO5",IF(W53&lt;&gt;"",W53,X53),0)
+IF($AM$5="CO5",IF(AM53&lt;&gt;"",AM53,AN53),0)
+IF($AO$5="CO5",IF(AO53&lt;&gt;"",AO53,AP53),0)
+IF($AQ$5="CO5",IF(AQ53&lt;&gt;"",AQ53,AR53),0)
+IF($AS$5="CO5",IF(AS53&lt;&gt;"",AS53,AT53),0)</f>
        <v/>
      </c>
      <c r="BB53" s="29">
        <f>SUMPRODUCT(($E$5:$P$5="CO6")*(E53:P53))
+SUMPRODUCT(($AA$5:$AL$5="CO6")*(AA53:AL53))
+IF($Q$5="CO6",IF(Q53&lt;&gt;"",Q53,R53),0)
+IF($S$5="CO6",IF(S53&lt;&gt;"",S53,T53),0)
+IF($U$5="CO6",IF(U53&lt;&gt;"",U53,V53),0)
+IF($W$5="CO6",IF(W53&lt;&gt;"",W53,X53),0)
+IF($AM$5="CO6",IF(AM53&lt;&gt;"",AM53,AN53),0)
+IF($AO$5="CO6",IF(AO53&lt;&gt;"",AO53,AP53),0)
+IF($AQ$5="CO6",IF(AQ53&lt;&gt;"",AQ53,AR53),0)
+IF($AS$5="CO6",IF(AS53&lt;&gt;"",AS53,AT53),0)</f>
        <v/>
      </c>
      <c r="BD53" s="30" t="n">
        <v>12</v>
      </c>
      <c r="BE53" s="30" t="n">
        <v>14</v>
      </c>
      <c r="BF53" s="30" t="n">
        <v>14</v>
      </c>
      <c r="BG53" s="5" t="n"/>
      <c r="BH53" s="5" t="n"/>
      <c r="BI53" s="5" t="n"/>
      <c r="BJ53" s="25">
        <f>SUM(BD53:BI53)</f>
        <v/>
      </c>
      <c r="BL53" s="5" t="n">
        <v>8</v>
      </c>
      <c r="BM53" s="5" t="n">
        <v>8</v>
      </c>
      <c r="BN53" s="5" t="n">
        <v>12</v>
      </c>
      <c r="BO53" s="5" t="n">
        <v>12</v>
      </c>
      <c r="BP53" s="5" t="n"/>
      <c r="BQ53" s="5" t="n"/>
      <c r="BR53" s="33">
        <f>SUM(BL53:BQ53)</f>
        <v/>
      </c>
      <c r="BT53" s="36">
        <f>SUMPRODUCT(($AW$5:$BQ$5="CO1")*AW53:BQ53)</f>
        <v/>
      </c>
      <c r="BU53" s="37">
        <f>SUMPRODUCT(($AW$5:$BR$5="CO2")*AW53:BR53)</f>
        <v/>
      </c>
      <c r="BV53" s="37">
        <f>SUMPRODUCT(($AW$5:$BR$5="CO3")*AW53:BR53)</f>
        <v/>
      </c>
      <c r="BW53" s="37">
        <f>SUMPRODUCT(($AW$5:$BR$5="CO4")*AW53:BR53)</f>
        <v/>
      </c>
      <c r="BX53" s="37">
        <f>SUMPRODUCT(($AW$5:$BR$5="CO5")*AW53:BR53)</f>
        <v/>
      </c>
      <c r="BY53" s="37">
        <f>SUMPRODUCT(($AW$5:$BR$5="CO6")*AW53:BR53)</f>
        <v/>
      </c>
      <c r="BZ53" s="33">
        <f>SUM(BT53:BY53)</f>
        <v/>
      </c>
      <c r="CB53" s="38">
        <f>BT53/$BT$7*100</f>
        <v/>
      </c>
      <c r="CC53" s="38">
        <f>BU53/$BU$7*100</f>
        <v/>
      </c>
      <c r="CD53" s="38">
        <f>BV53/$BV$7*100</f>
        <v/>
      </c>
      <c r="CE53" s="38">
        <f>BW53/$BW$7*100</f>
        <v/>
      </c>
      <c r="CF53" s="38">
        <f>BX53/$BX$7*100</f>
        <v/>
      </c>
      <c r="CG53" s="38">
        <f>BY53/$BY$7*100</f>
        <v/>
      </c>
    </row>
    <row r="54" ht="15.5" customHeight="1">
      <c r="A54" s="43" t="n">
        <v>47</v>
      </c>
      <c r="B54" s="43" t="inlineStr">
        <is>
          <t>MAHALAKSHMI M</t>
        </is>
      </c>
      <c r="C54" s="43" t="inlineStr">
        <is>
          <t>SECTION C</t>
        </is>
      </c>
      <c r="D54" s="42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28">
        <f>SUM(E54:P54)+(IF(Q54&lt;&gt;"",Q54,R54))+(IF(S54&lt;&gt;"",S54,T54))+(IF(U54&lt;&gt;"",U54,V54))+(IF(W54&lt;&gt;"",W54,X54))</f>
        <v/>
      </c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31">
        <f>SUM(AA54:AL54)+(IF(AM54&lt;&gt;"",AM54,AN54))+(IF(AO54&lt;&gt;"",AO54,AP54))+(IF(AQ54&lt;&gt;"",AQ54,AR54))+(IF(AS54&lt;&gt;"",AS54,AT54))</f>
        <v/>
      </c>
      <c r="AW54" s="29">
        <f>SUMPRODUCT(($E$5:$P$5="CO1")*(E54:P54))
+SUMPRODUCT(($AA$5:$AL$5="CO1")*(AA54:AL54))
+IF($Q$5="CO1",IF(Q54&lt;&gt;"",Q54,R54),0)
+IF($S$5="CO1",IF(S54&lt;&gt;"",S54,T54),0)
+IF($U$5="CO1",IF(U54&lt;&gt;"",U54,V54),0)
+IF($W$5="CO1",IF(W54&lt;&gt;"",W54,X54),0)
+IF($AM$5="CO1",IF(AM54&lt;&gt;"",AM54,AN54),0)
+IF($AO$5="CO1",IF(AO54&lt;&gt;"",AO54,AP54),0)
+IF($AQ$5="CO1",IF(AQ54&lt;&gt;"",AQ54,AR54),0)
+IF($AS$5="CO1",IF(AS54&lt;&gt;"",AS54,AT54),0)</f>
        <v/>
      </c>
      <c r="AX54" s="29">
        <f>SUMPRODUCT(($E$5:$P$5="CO2")*(E54:P54))
+SUMPRODUCT(($AA$5:$AL$5="CO2")*(AA54:AL54))
+IF($Q$5="CO2",IF(R54&lt;&gt;"",R54,S54),0)
+IF($S$5="CO2",IF(T54&lt;&gt;"",T54,U54),0)
+IF($U$5="CO2",IF(V54&lt;&gt;"",V54,W54),0)
+IF($W$5="CO2",IF(X54&lt;&gt;"",X54,Y54),0)
+IF($AM$5="CO2",IF(AN54&lt;&gt;"",AN54,AO54),0)
+IF($AO$5="CO2",IF(AP54&lt;&gt;"",AP54,AQ54),0)
+IF($AQ$5="CO2",IF(AR54&lt;&gt;"",AR54,AS54),0)
+IF($AS$5="CO2",IF(AT54&lt;&gt;"",AT54,AU54),0)</f>
        <v/>
      </c>
      <c r="AY54" s="29">
        <f>SUMPRODUCT(($E$5:$P$5="CO3")*(E54:P54))
+SUMPRODUCT(($AA$5:$AL$5="CO3")*(AA54:AL54))
+IF($Q$5="CO3",IF(Q54&lt;&gt;"",Q54,R54),0)
+IF($S$5="CO3",IF(S54&lt;&gt;"",S54,T54),0)
+IF($U$5="CO3",IF(U54&lt;&gt;"",U54,V54),0)
+IF($W$5="CO3",IF(W54&lt;&gt;"",W54,X54),0)
+IF($AM$5="CO3",IF(AM54&lt;&gt;"",AM54,AN54),0)
+IF($AO$5="CO3",IF(AO54&lt;&gt;"",AO54,AP54),0)
+IF($AQ$5="CO3",IF(AQ54&lt;&gt;"",AQ54,AR54),0)
+IF($AS$5="CO3",IF(AS54&lt;&gt;"",AS54,AT54),0)</f>
        <v/>
      </c>
      <c r="AZ54" s="29">
        <f>SUMPRODUCT(($E$5:$P$5="CO4")*(E54:P54))
+SUMPRODUCT(($AA$5:$AL$5="CO4")*(AA54:AL54))
+IF($Q$5="CO4",IF(Q54&lt;&gt;"",Q54,R54),0)
+IF($S$5="CO4",IF(S54&lt;&gt;"",S54,T54),0)
+IF($U$5="CO4",IF(U54&lt;&gt;"",U54,V54),0)
+IF($W$5="CO4",IF(W54&lt;&gt;"",W54,X54),0)
+IF($AM$5="CO4",IF(AM54&lt;&gt;"",AM54,AN54),0)
+IF($AO$5="CO4",IF(AO54&lt;&gt;"",AO54,AP54),0)
+IF($AQ$5="CO4",IF(AQ54&lt;&gt;"",AQ54,AR54),0)
+IF($AS$5="CO4",IF(AS54&lt;&gt;"",AS54,AT54),0)</f>
        <v/>
      </c>
      <c r="BA54" s="29">
        <f>SUMPRODUCT(($E$5:$P$5="CO5")*(E54:P54))
+SUMPRODUCT(($AA$5:$AL$5="CO5")*(AA54:AL54))
+IF($Q$5="CO5",IF(Q54&lt;&gt;"",Q54,R54),0)
+IF($S$5="CO5",IF(S54&lt;&gt;"",S54,T54),0)
+IF($U$5="CO5",IF(U54&lt;&gt;"",U54,V54),0)
+IF($W$5="CO5",IF(W54&lt;&gt;"",W54,X54),0)
+IF($AM$5="CO5",IF(AM54&lt;&gt;"",AM54,AN54),0)
+IF($AO$5="CO5",IF(AO54&lt;&gt;"",AO54,AP54),0)
+IF($AQ$5="CO5",IF(AQ54&lt;&gt;"",AQ54,AR54),0)
+IF($AS$5="CO5",IF(AS54&lt;&gt;"",AS54,AT54),0)</f>
        <v/>
      </c>
      <c r="BB54" s="29">
        <f>SUMPRODUCT(($E$5:$P$5="CO6")*(E54:P54))
+SUMPRODUCT(($AA$5:$AL$5="CO6")*(AA54:AL54))
+IF($Q$5="CO6",IF(Q54&lt;&gt;"",Q54,R54),0)
+IF($S$5="CO6",IF(S54&lt;&gt;"",S54,T54),0)
+IF($U$5="CO6",IF(U54&lt;&gt;"",U54,V54),0)
+IF($W$5="CO6",IF(W54&lt;&gt;"",W54,X54),0)
+IF($AM$5="CO6",IF(AM54&lt;&gt;"",AM54,AN54),0)
+IF($AO$5="CO6",IF(AO54&lt;&gt;"",AO54,AP54),0)
+IF($AQ$5="CO6",IF(AQ54&lt;&gt;"",AQ54,AR54),0)
+IF($AS$5="CO6",IF(AS54&lt;&gt;"",AS54,AT54),0)</f>
        <v/>
      </c>
      <c r="BD54" s="30" t="n">
        <v>12</v>
      </c>
      <c r="BE54" s="30" t="n">
        <v>14</v>
      </c>
      <c r="BF54" s="30" t="n">
        <v>14</v>
      </c>
      <c r="BG54" s="5" t="n"/>
      <c r="BH54" s="5" t="n"/>
      <c r="BI54" s="5" t="n"/>
      <c r="BJ54" s="25">
        <f>SUM(BD54:BI54)</f>
        <v/>
      </c>
      <c r="BL54" s="5" t="n">
        <v>8</v>
      </c>
      <c r="BM54" s="5" t="n">
        <v>8</v>
      </c>
      <c r="BN54" s="5" t="n">
        <v>12</v>
      </c>
      <c r="BO54" s="5" t="n">
        <v>12</v>
      </c>
      <c r="BP54" s="5" t="n"/>
      <c r="BQ54" s="5" t="n"/>
      <c r="BR54" s="33">
        <f>SUM(BL54:BQ54)</f>
        <v/>
      </c>
      <c r="BT54" s="36">
        <f>SUMPRODUCT(($AW$5:$BQ$5="CO1")*AW54:BQ54)</f>
        <v/>
      </c>
      <c r="BU54" s="37">
        <f>SUMPRODUCT(($AW$5:$BR$5="CO2")*AW54:BR54)</f>
        <v/>
      </c>
      <c r="BV54" s="37">
        <f>SUMPRODUCT(($AW$5:$BR$5="CO3")*AW54:BR54)</f>
        <v/>
      </c>
      <c r="BW54" s="37">
        <f>SUMPRODUCT(($AW$5:$BR$5="CO4")*AW54:BR54)</f>
        <v/>
      </c>
      <c r="BX54" s="37">
        <f>SUMPRODUCT(($AW$5:$BR$5="CO5")*AW54:BR54)</f>
        <v/>
      </c>
      <c r="BY54" s="37">
        <f>SUMPRODUCT(($AW$5:$BR$5="CO6")*AW54:BR54)</f>
        <v/>
      </c>
      <c r="BZ54" s="33">
        <f>SUM(BT54:BY54)</f>
        <v/>
      </c>
      <c r="CB54" s="38">
        <f>BT54/$BT$7*100</f>
        <v/>
      </c>
      <c r="CC54" s="38">
        <f>BU54/$BU$7*100</f>
        <v/>
      </c>
      <c r="CD54" s="38">
        <f>BV54/$BV$7*100</f>
        <v/>
      </c>
      <c r="CE54" s="38">
        <f>BW54/$BW$7*100</f>
        <v/>
      </c>
      <c r="CF54" s="38">
        <f>BX54/$BX$7*100</f>
        <v/>
      </c>
      <c r="CG54" s="38">
        <f>BY54/$BY$7*100</f>
        <v/>
      </c>
    </row>
    <row r="55" ht="15.5" customHeight="1">
      <c r="A55" s="43" t="n">
        <v>48</v>
      </c>
      <c r="B55" s="43" t="inlineStr">
        <is>
          <t>MOHANA J.</t>
        </is>
      </c>
      <c r="C55" s="43" t="inlineStr">
        <is>
          <t>SECTION C</t>
        </is>
      </c>
      <c r="D55" s="42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28">
        <f>SUM(E55:P55)+(IF(Q55&lt;&gt;"",Q55,R55))+(IF(S55&lt;&gt;"",S55,T55))+(IF(U55&lt;&gt;"",U55,V55))+(IF(W55&lt;&gt;"",W55,X55))</f>
        <v/>
      </c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31">
        <f>SUM(AA55:AL55)+(IF(AM55&lt;&gt;"",AM55,AN55))+(IF(AO55&lt;&gt;"",AO55,AP55))+(IF(AQ55&lt;&gt;"",AQ55,AR55))+(IF(AS55&lt;&gt;"",AS55,AT55))</f>
        <v/>
      </c>
      <c r="AW55" s="29">
        <f>SUMPRODUCT(($E$5:$P$5="CO1")*(E55:P55))
+SUMPRODUCT(($AA$5:$AL$5="CO1")*(AA55:AL55))
+IF($Q$5="CO1",IF(Q55&lt;&gt;"",Q55,R55),0)
+IF($S$5="CO1",IF(S55&lt;&gt;"",S55,T55),0)
+IF($U$5="CO1",IF(U55&lt;&gt;"",U55,V55),0)
+IF($W$5="CO1",IF(W55&lt;&gt;"",W55,X55),0)
+IF($AM$5="CO1",IF(AM55&lt;&gt;"",AM55,AN55),0)
+IF($AO$5="CO1",IF(AO55&lt;&gt;"",AO55,AP55),0)
+IF($AQ$5="CO1",IF(AQ55&lt;&gt;"",AQ55,AR55),0)
+IF($AS$5="CO1",IF(AS55&lt;&gt;"",AS55,AT55),0)</f>
        <v/>
      </c>
      <c r="AX55" s="29">
        <f>SUMPRODUCT(($E$5:$P$5="CO2")*(E55:P55))
+SUMPRODUCT(($AA$5:$AL$5="CO2")*(AA55:AL55))
+IF($Q$5="CO2",IF(R55&lt;&gt;"",R55,S55),0)
+IF($S$5="CO2",IF(T55&lt;&gt;"",T55,U55),0)
+IF($U$5="CO2",IF(V55&lt;&gt;"",V55,W55),0)
+IF($W$5="CO2",IF(X55&lt;&gt;"",X55,Y55),0)
+IF($AM$5="CO2",IF(AN55&lt;&gt;"",AN55,AO55),0)
+IF($AO$5="CO2",IF(AP55&lt;&gt;"",AP55,AQ55),0)
+IF($AQ$5="CO2",IF(AR55&lt;&gt;"",AR55,AS55),0)
+IF($AS$5="CO2",IF(AT55&lt;&gt;"",AT55,AU55),0)</f>
        <v/>
      </c>
      <c r="AY55" s="29">
        <f>SUMPRODUCT(($E$5:$P$5="CO3")*(E55:P55))
+SUMPRODUCT(($AA$5:$AL$5="CO3")*(AA55:AL55))
+IF($Q$5="CO3",IF(Q55&lt;&gt;"",Q55,R55),0)
+IF($S$5="CO3",IF(S55&lt;&gt;"",S55,T55),0)
+IF($U$5="CO3",IF(U55&lt;&gt;"",U55,V55),0)
+IF($W$5="CO3",IF(W55&lt;&gt;"",W55,X55),0)
+IF($AM$5="CO3",IF(AM55&lt;&gt;"",AM55,AN55),0)
+IF($AO$5="CO3",IF(AO55&lt;&gt;"",AO55,AP55),0)
+IF($AQ$5="CO3",IF(AQ55&lt;&gt;"",AQ55,AR55),0)
+IF($AS$5="CO3",IF(AS55&lt;&gt;"",AS55,AT55),0)</f>
        <v/>
      </c>
      <c r="AZ55" s="29">
        <f>SUMPRODUCT(($E$5:$P$5="CO4")*(E55:P55))
+SUMPRODUCT(($AA$5:$AL$5="CO4")*(AA55:AL55))
+IF($Q$5="CO4",IF(Q55&lt;&gt;"",Q55,R55),0)
+IF($S$5="CO4",IF(S55&lt;&gt;"",S55,T55),0)
+IF($U$5="CO4",IF(U55&lt;&gt;"",U55,V55),0)
+IF($W$5="CO4",IF(W55&lt;&gt;"",W55,X55),0)
+IF($AM$5="CO4",IF(AM55&lt;&gt;"",AM55,AN55),0)
+IF($AO$5="CO4",IF(AO55&lt;&gt;"",AO55,AP55),0)
+IF($AQ$5="CO4",IF(AQ55&lt;&gt;"",AQ55,AR55),0)
+IF($AS$5="CO4",IF(AS55&lt;&gt;"",AS55,AT55),0)</f>
        <v/>
      </c>
      <c r="BA55" s="29">
        <f>SUMPRODUCT(($E$5:$P$5="CO5")*(E55:P55))
+SUMPRODUCT(($AA$5:$AL$5="CO5")*(AA55:AL55))
+IF($Q$5="CO5",IF(Q55&lt;&gt;"",Q55,R55),0)
+IF($S$5="CO5",IF(S55&lt;&gt;"",S55,T55),0)
+IF($U$5="CO5",IF(U55&lt;&gt;"",U55,V55),0)
+IF($W$5="CO5",IF(W55&lt;&gt;"",W55,X55),0)
+IF($AM$5="CO5",IF(AM55&lt;&gt;"",AM55,AN55),0)
+IF($AO$5="CO5",IF(AO55&lt;&gt;"",AO55,AP55),0)
+IF($AQ$5="CO5",IF(AQ55&lt;&gt;"",AQ55,AR55),0)
+IF($AS$5="CO5",IF(AS55&lt;&gt;"",AS55,AT55),0)</f>
        <v/>
      </c>
      <c r="BB55" s="29">
        <f>SUMPRODUCT(($E$5:$P$5="CO6")*(E55:P55))
+SUMPRODUCT(($AA$5:$AL$5="CO6")*(AA55:AL55))
+IF($Q$5="CO6",IF(Q55&lt;&gt;"",Q55,R55),0)
+IF($S$5="CO6",IF(S55&lt;&gt;"",S55,T55),0)
+IF($U$5="CO6",IF(U55&lt;&gt;"",U55,V55),0)
+IF($W$5="CO6",IF(W55&lt;&gt;"",W55,X55),0)
+IF($AM$5="CO6",IF(AM55&lt;&gt;"",AM55,AN55),0)
+IF($AO$5="CO6",IF(AO55&lt;&gt;"",AO55,AP55),0)
+IF($AQ$5="CO6",IF(AQ55&lt;&gt;"",AQ55,AR55),0)
+IF($AS$5="CO6",IF(AS55&lt;&gt;"",AS55,AT55),0)</f>
        <v/>
      </c>
      <c r="BD55" s="30" t="n">
        <v>12</v>
      </c>
      <c r="BE55" s="30" t="n">
        <v>14</v>
      </c>
      <c r="BF55" s="30" t="n">
        <v>14</v>
      </c>
      <c r="BG55" s="5" t="n"/>
      <c r="BH55" s="5" t="n"/>
      <c r="BI55" s="5" t="n"/>
      <c r="BJ55" s="25">
        <f>SUM(BD55:BI55)</f>
        <v/>
      </c>
      <c r="BL55" s="5" t="n">
        <v>8</v>
      </c>
      <c r="BM55" s="5" t="n">
        <v>8</v>
      </c>
      <c r="BN55" s="5" t="n">
        <v>12</v>
      </c>
      <c r="BO55" s="5" t="n">
        <v>12</v>
      </c>
      <c r="BP55" s="5" t="n"/>
      <c r="BQ55" s="5" t="n"/>
      <c r="BR55" s="33">
        <f>SUM(BL55:BQ55)</f>
        <v/>
      </c>
      <c r="BT55" s="36">
        <f>SUMPRODUCT(($AW$5:$BQ$5="CO1")*AW55:BQ55)</f>
        <v/>
      </c>
      <c r="BU55" s="37">
        <f>SUMPRODUCT(($AW$5:$BR$5="CO2")*AW55:BR55)</f>
        <v/>
      </c>
      <c r="BV55" s="37">
        <f>SUMPRODUCT(($AW$5:$BR$5="CO3")*AW55:BR55)</f>
        <v/>
      </c>
      <c r="BW55" s="37">
        <f>SUMPRODUCT(($AW$5:$BR$5="CO4")*AW55:BR55)</f>
        <v/>
      </c>
      <c r="BX55" s="37">
        <f>SUMPRODUCT(($AW$5:$BR$5="CO5")*AW55:BR55)</f>
        <v/>
      </c>
      <c r="BY55" s="37">
        <f>SUMPRODUCT(($AW$5:$BR$5="CO6")*AW55:BR55)</f>
        <v/>
      </c>
      <c r="BZ55" s="33">
        <f>SUM(BT55:BY55)</f>
        <v/>
      </c>
      <c r="CB55" s="38">
        <f>BT55/$BT$7*100</f>
        <v/>
      </c>
      <c r="CC55" s="38">
        <f>BU55/$BU$7*100</f>
        <v/>
      </c>
      <c r="CD55" s="38">
        <f>BV55/$BV$7*100</f>
        <v/>
      </c>
      <c r="CE55" s="38">
        <f>BW55/$BW$7*100</f>
        <v/>
      </c>
      <c r="CF55" s="38">
        <f>BX55/$BX$7*100</f>
        <v/>
      </c>
      <c r="CG55" s="38">
        <f>BY55/$BY$7*100</f>
        <v/>
      </c>
    </row>
    <row r="56" ht="15.5" customHeight="1">
      <c r="A56" s="43" t="n">
        <v>49</v>
      </c>
      <c r="B56" s="43" t="inlineStr">
        <is>
          <t>MOHANA R</t>
        </is>
      </c>
      <c r="C56" s="43" t="inlineStr">
        <is>
          <t>SECTION C</t>
        </is>
      </c>
      <c r="D56" s="42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28">
        <f>SUM(E56:P56)+(IF(Q56&lt;&gt;"",Q56,R56))+(IF(S56&lt;&gt;"",S56,T56))+(IF(U56&lt;&gt;"",U56,V56))+(IF(W56&lt;&gt;"",W56,X56))</f>
        <v/>
      </c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31">
        <f>SUM(AA56:AL56)+(IF(AM56&lt;&gt;"",AM56,AN56))+(IF(AO56&lt;&gt;"",AO56,AP56))+(IF(AQ56&lt;&gt;"",AQ56,AR56))+(IF(AS56&lt;&gt;"",AS56,AT56))</f>
        <v/>
      </c>
      <c r="AW56" s="29">
        <f>SUMPRODUCT(($E$5:$P$5="CO1")*(E56:P56))
+SUMPRODUCT(($AA$5:$AL$5="CO1")*(AA56:AL56))
+IF($Q$5="CO1",IF(Q56&lt;&gt;"",Q56,R56),0)
+IF($S$5="CO1",IF(S56&lt;&gt;"",S56,T56),0)
+IF($U$5="CO1",IF(U56&lt;&gt;"",U56,V56),0)
+IF($W$5="CO1",IF(W56&lt;&gt;"",W56,X56),0)
+IF($AM$5="CO1",IF(AM56&lt;&gt;"",AM56,AN56),0)
+IF($AO$5="CO1",IF(AO56&lt;&gt;"",AO56,AP56),0)
+IF($AQ$5="CO1",IF(AQ56&lt;&gt;"",AQ56,AR56),0)
+IF($AS$5="CO1",IF(AS56&lt;&gt;"",AS56,AT56),0)</f>
        <v/>
      </c>
      <c r="AX56" s="29">
        <f>SUMPRODUCT(($E$5:$P$5="CO2")*(E56:P56))
+SUMPRODUCT(($AA$5:$AL$5="CO2")*(AA56:AL56))
+IF($Q$5="CO2",IF(R56&lt;&gt;"",R56,S56),0)
+IF($S$5="CO2",IF(T56&lt;&gt;"",T56,U56),0)
+IF($U$5="CO2",IF(V56&lt;&gt;"",V56,W56),0)
+IF($W$5="CO2",IF(X56&lt;&gt;"",X56,Y56),0)
+IF($AM$5="CO2",IF(AN56&lt;&gt;"",AN56,AO56),0)
+IF($AO$5="CO2",IF(AP56&lt;&gt;"",AP56,AQ56),0)
+IF($AQ$5="CO2",IF(AR56&lt;&gt;"",AR56,AS56),0)
+IF($AS$5="CO2",IF(AT56&lt;&gt;"",AT56,AU56),0)</f>
        <v/>
      </c>
      <c r="AY56" s="29">
        <f>SUMPRODUCT(($E$5:$P$5="CO3")*(E56:P56))
+SUMPRODUCT(($AA$5:$AL$5="CO3")*(AA56:AL56))
+IF($Q$5="CO3",IF(Q56&lt;&gt;"",Q56,R56),0)
+IF($S$5="CO3",IF(S56&lt;&gt;"",S56,T56),0)
+IF($U$5="CO3",IF(U56&lt;&gt;"",U56,V56),0)
+IF($W$5="CO3",IF(W56&lt;&gt;"",W56,X56),0)
+IF($AM$5="CO3",IF(AM56&lt;&gt;"",AM56,AN56),0)
+IF($AO$5="CO3",IF(AO56&lt;&gt;"",AO56,AP56),0)
+IF($AQ$5="CO3",IF(AQ56&lt;&gt;"",AQ56,AR56),0)
+IF($AS$5="CO3",IF(AS56&lt;&gt;"",AS56,AT56),0)</f>
        <v/>
      </c>
      <c r="AZ56" s="29">
        <f>SUMPRODUCT(($E$5:$P$5="CO4")*(E56:P56))
+SUMPRODUCT(($AA$5:$AL$5="CO4")*(AA56:AL56))
+IF($Q$5="CO4",IF(Q56&lt;&gt;"",Q56,R56),0)
+IF($S$5="CO4",IF(S56&lt;&gt;"",S56,T56),0)
+IF($U$5="CO4",IF(U56&lt;&gt;"",U56,V56),0)
+IF($W$5="CO4",IF(W56&lt;&gt;"",W56,X56),0)
+IF($AM$5="CO4",IF(AM56&lt;&gt;"",AM56,AN56),0)
+IF($AO$5="CO4",IF(AO56&lt;&gt;"",AO56,AP56),0)
+IF($AQ$5="CO4",IF(AQ56&lt;&gt;"",AQ56,AR56),0)
+IF($AS$5="CO4",IF(AS56&lt;&gt;"",AS56,AT56),0)</f>
        <v/>
      </c>
      <c r="BA56" s="29">
        <f>SUMPRODUCT(($E$5:$P$5="CO5")*(E56:P56))
+SUMPRODUCT(($AA$5:$AL$5="CO5")*(AA56:AL56))
+IF($Q$5="CO5",IF(Q56&lt;&gt;"",Q56,R56),0)
+IF($S$5="CO5",IF(S56&lt;&gt;"",S56,T56),0)
+IF($U$5="CO5",IF(U56&lt;&gt;"",U56,V56),0)
+IF($W$5="CO5",IF(W56&lt;&gt;"",W56,X56),0)
+IF($AM$5="CO5",IF(AM56&lt;&gt;"",AM56,AN56),0)
+IF($AO$5="CO5",IF(AO56&lt;&gt;"",AO56,AP56),0)
+IF($AQ$5="CO5",IF(AQ56&lt;&gt;"",AQ56,AR56),0)
+IF($AS$5="CO5",IF(AS56&lt;&gt;"",AS56,AT56),0)</f>
        <v/>
      </c>
      <c r="BB56" s="29">
        <f>SUMPRODUCT(($E$5:$P$5="CO6")*(E56:P56))
+SUMPRODUCT(($AA$5:$AL$5="CO6")*(AA56:AL56))
+IF($Q$5="CO6",IF(Q56&lt;&gt;"",Q56,R56),0)
+IF($S$5="CO6",IF(S56&lt;&gt;"",S56,T56),0)
+IF($U$5="CO6",IF(U56&lt;&gt;"",U56,V56),0)
+IF($W$5="CO6",IF(W56&lt;&gt;"",W56,X56),0)
+IF($AM$5="CO6",IF(AM56&lt;&gt;"",AM56,AN56),0)
+IF($AO$5="CO6",IF(AO56&lt;&gt;"",AO56,AP56),0)
+IF($AQ$5="CO6",IF(AQ56&lt;&gt;"",AQ56,AR56),0)
+IF($AS$5="CO6",IF(AS56&lt;&gt;"",AS56,AT56),0)</f>
        <v/>
      </c>
      <c r="BD56" s="30" t="n">
        <v>12</v>
      </c>
      <c r="BE56" s="30" t="n">
        <v>14</v>
      </c>
      <c r="BF56" s="30" t="n">
        <v>14</v>
      </c>
      <c r="BG56" s="5" t="n"/>
      <c r="BH56" s="5" t="n"/>
      <c r="BI56" s="5" t="n"/>
      <c r="BJ56" s="25">
        <f>SUM(BD56:BI56)</f>
        <v/>
      </c>
      <c r="BL56" s="5" t="n">
        <v>8</v>
      </c>
      <c r="BM56" s="5" t="n">
        <v>8</v>
      </c>
      <c r="BN56" s="5" t="n">
        <v>12</v>
      </c>
      <c r="BO56" s="5" t="n">
        <v>12</v>
      </c>
      <c r="BP56" s="5" t="n"/>
      <c r="BQ56" s="5" t="n"/>
      <c r="BR56" s="33">
        <f>SUM(BL56:BQ56)</f>
        <v/>
      </c>
      <c r="BT56" s="36">
        <f>SUMPRODUCT(($AW$5:$BQ$5="CO1")*AW56:BQ56)</f>
        <v/>
      </c>
      <c r="BU56" s="37">
        <f>SUMPRODUCT(($AW$5:$BR$5="CO2")*AW56:BR56)</f>
        <v/>
      </c>
      <c r="BV56" s="37">
        <f>SUMPRODUCT(($AW$5:$BR$5="CO3")*AW56:BR56)</f>
        <v/>
      </c>
      <c r="BW56" s="37">
        <f>SUMPRODUCT(($AW$5:$BR$5="CO4")*AW56:BR56)</f>
        <v/>
      </c>
      <c r="BX56" s="37">
        <f>SUMPRODUCT(($AW$5:$BR$5="CO5")*AW56:BR56)</f>
        <v/>
      </c>
      <c r="BY56" s="37">
        <f>SUMPRODUCT(($AW$5:$BR$5="CO6")*AW56:BR56)</f>
        <v/>
      </c>
      <c r="BZ56" s="33">
        <f>SUM(BT56:BY56)</f>
        <v/>
      </c>
      <c r="CB56" s="38">
        <f>BT56/$BT$7*100</f>
        <v/>
      </c>
      <c r="CC56" s="38">
        <f>BU56/$BU$7*100</f>
        <v/>
      </c>
      <c r="CD56" s="38">
        <f>BV56/$BV$7*100</f>
        <v/>
      </c>
      <c r="CE56" s="38">
        <f>BW56/$BW$7*100</f>
        <v/>
      </c>
      <c r="CF56" s="38">
        <f>BX56/$BX$7*100</f>
        <v/>
      </c>
      <c r="CG56" s="38">
        <f>BY56/$BY$7*100</f>
        <v/>
      </c>
    </row>
    <row r="57" ht="15.5" customHeight="1">
      <c r="A57" s="43" t="n">
        <v>50</v>
      </c>
      <c r="B57" s="43" t="inlineStr">
        <is>
          <t>NIVITHA J</t>
        </is>
      </c>
      <c r="C57" s="43" t="inlineStr">
        <is>
          <t>SECTION C</t>
        </is>
      </c>
      <c r="D57" s="42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28">
        <f>SUM(E57:P57)+(IF(Q57&lt;&gt;"",Q57,R57))+(IF(S57&lt;&gt;"",S57,T57))+(IF(U57&lt;&gt;"",U57,V57))+(IF(W57&lt;&gt;"",W57,X57))</f>
        <v/>
      </c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31">
        <f>SUM(AA57:AL57)+(IF(AM57&lt;&gt;"",AM57,AN57))+(IF(AO57&lt;&gt;"",AO57,AP57))+(IF(AQ57&lt;&gt;"",AQ57,AR57))+(IF(AS57&lt;&gt;"",AS57,AT57))</f>
        <v/>
      </c>
      <c r="AW57" s="29">
        <f>SUMPRODUCT(($E$5:$P$5="CO1")*(E57:P57))
+SUMPRODUCT(($AA$5:$AL$5="CO1")*(AA57:AL57))
+IF($Q$5="CO1",IF(Q57&lt;&gt;"",Q57,R57),0)
+IF($S$5="CO1",IF(S57&lt;&gt;"",S57,T57),0)
+IF($U$5="CO1",IF(U57&lt;&gt;"",U57,V57),0)
+IF($W$5="CO1",IF(W57&lt;&gt;"",W57,X57),0)
+IF($AM$5="CO1",IF(AM57&lt;&gt;"",AM57,AN57),0)
+IF($AO$5="CO1",IF(AO57&lt;&gt;"",AO57,AP57),0)
+IF($AQ$5="CO1",IF(AQ57&lt;&gt;"",AQ57,AR57),0)
+IF($AS$5="CO1",IF(AS57&lt;&gt;"",AS57,AT57),0)</f>
        <v/>
      </c>
      <c r="AX57" s="29">
        <f>SUMPRODUCT(($E$5:$P$5="CO2")*(E57:P57))
+SUMPRODUCT(($AA$5:$AL$5="CO2")*(AA57:AL57))
+IF($Q$5="CO2",IF(R57&lt;&gt;"",R57,S57),0)
+IF($S$5="CO2",IF(T57&lt;&gt;"",T57,U57),0)
+IF($U$5="CO2",IF(V57&lt;&gt;"",V57,W57),0)
+IF($W$5="CO2",IF(X57&lt;&gt;"",X57,Y57),0)
+IF($AM$5="CO2",IF(AN57&lt;&gt;"",AN57,AO57),0)
+IF($AO$5="CO2",IF(AP57&lt;&gt;"",AP57,AQ57),0)
+IF($AQ$5="CO2",IF(AR57&lt;&gt;"",AR57,AS57),0)
+IF($AS$5="CO2",IF(AT57&lt;&gt;"",AT57,AU57),0)</f>
        <v/>
      </c>
      <c r="AY57" s="29">
        <f>SUMPRODUCT(($E$5:$P$5="CO3")*(E57:P57))
+SUMPRODUCT(($AA$5:$AL$5="CO3")*(AA57:AL57))
+IF($Q$5="CO3",IF(Q57&lt;&gt;"",Q57,R57),0)
+IF($S$5="CO3",IF(S57&lt;&gt;"",S57,T57),0)
+IF($U$5="CO3",IF(U57&lt;&gt;"",U57,V57),0)
+IF($W$5="CO3",IF(W57&lt;&gt;"",W57,X57),0)
+IF($AM$5="CO3",IF(AM57&lt;&gt;"",AM57,AN57),0)
+IF($AO$5="CO3",IF(AO57&lt;&gt;"",AO57,AP57),0)
+IF($AQ$5="CO3",IF(AQ57&lt;&gt;"",AQ57,AR57),0)
+IF($AS$5="CO3",IF(AS57&lt;&gt;"",AS57,AT57),0)</f>
        <v/>
      </c>
      <c r="AZ57" s="29">
        <f>SUMPRODUCT(($E$5:$P$5="CO4")*(E57:P57))
+SUMPRODUCT(($AA$5:$AL$5="CO4")*(AA57:AL57))
+IF($Q$5="CO4",IF(Q57&lt;&gt;"",Q57,R57),0)
+IF($S$5="CO4",IF(S57&lt;&gt;"",S57,T57),0)
+IF($U$5="CO4",IF(U57&lt;&gt;"",U57,V57),0)
+IF($W$5="CO4",IF(W57&lt;&gt;"",W57,X57),0)
+IF($AM$5="CO4",IF(AM57&lt;&gt;"",AM57,AN57),0)
+IF($AO$5="CO4",IF(AO57&lt;&gt;"",AO57,AP57),0)
+IF($AQ$5="CO4",IF(AQ57&lt;&gt;"",AQ57,AR57),0)
+IF($AS$5="CO4",IF(AS57&lt;&gt;"",AS57,AT57),0)</f>
        <v/>
      </c>
      <c r="BA57" s="29">
        <f>SUMPRODUCT(($E$5:$P$5="CO5")*(E57:P57))
+SUMPRODUCT(($AA$5:$AL$5="CO5")*(AA57:AL57))
+IF($Q$5="CO5",IF(Q57&lt;&gt;"",Q57,R57),0)
+IF($S$5="CO5",IF(S57&lt;&gt;"",S57,T57),0)
+IF($U$5="CO5",IF(U57&lt;&gt;"",U57,V57),0)
+IF($W$5="CO5",IF(W57&lt;&gt;"",W57,X57),0)
+IF($AM$5="CO5",IF(AM57&lt;&gt;"",AM57,AN57),0)
+IF($AO$5="CO5",IF(AO57&lt;&gt;"",AO57,AP57),0)
+IF($AQ$5="CO5",IF(AQ57&lt;&gt;"",AQ57,AR57),0)
+IF($AS$5="CO5",IF(AS57&lt;&gt;"",AS57,AT57),0)</f>
        <v/>
      </c>
      <c r="BB57" s="29">
        <f>SUMPRODUCT(($E$5:$P$5="CO6")*(E57:P57))
+SUMPRODUCT(($AA$5:$AL$5="CO6")*(AA57:AL57))
+IF($Q$5="CO6",IF(Q57&lt;&gt;"",Q57,R57),0)
+IF($S$5="CO6",IF(S57&lt;&gt;"",S57,T57),0)
+IF($U$5="CO6",IF(U57&lt;&gt;"",U57,V57),0)
+IF($W$5="CO6",IF(W57&lt;&gt;"",W57,X57),0)
+IF($AM$5="CO6",IF(AM57&lt;&gt;"",AM57,AN57),0)
+IF($AO$5="CO6",IF(AO57&lt;&gt;"",AO57,AP57),0)
+IF($AQ$5="CO6",IF(AQ57&lt;&gt;"",AQ57,AR57),0)
+IF($AS$5="CO6",IF(AS57&lt;&gt;"",AS57,AT57),0)</f>
        <v/>
      </c>
      <c r="BD57" s="30" t="n">
        <v>12</v>
      </c>
      <c r="BE57" s="30" t="n">
        <v>14</v>
      </c>
      <c r="BF57" s="30" t="n">
        <v>14</v>
      </c>
      <c r="BG57" s="5" t="n"/>
      <c r="BH57" s="5" t="n"/>
      <c r="BI57" s="5" t="n"/>
      <c r="BJ57" s="25">
        <f>SUM(BD57:BI57)</f>
        <v/>
      </c>
      <c r="BL57" s="5" t="n">
        <v>8</v>
      </c>
      <c r="BM57" s="5" t="n">
        <v>8</v>
      </c>
      <c r="BN57" s="5" t="n">
        <v>12</v>
      </c>
      <c r="BO57" s="5" t="n">
        <v>12</v>
      </c>
      <c r="BP57" s="5" t="n"/>
      <c r="BQ57" s="5" t="n"/>
      <c r="BR57" s="33">
        <f>SUM(BL57:BQ57)</f>
        <v/>
      </c>
      <c r="BT57" s="36">
        <f>SUMPRODUCT(($AW$5:$BQ$5="CO1")*AW57:BQ57)</f>
        <v/>
      </c>
      <c r="BU57" s="37">
        <f>SUMPRODUCT(($AW$5:$BR$5="CO2")*AW57:BR57)</f>
        <v/>
      </c>
      <c r="BV57" s="37">
        <f>SUMPRODUCT(($AW$5:$BR$5="CO3")*AW57:BR57)</f>
        <v/>
      </c>
      <c r="BW57" s="37">
        <f>SUMPRODUCT(($AW$5:$BR$5="CO4")*AW57:BR57)</f>
        <v/>
      </c>
      <c r="BX57" s="37">
        <f>SUMPRODUCT(($AW$5:$BR$5="CO5")*AW57:BR57)</f>
        <v/>
      </c>
      <c r="BY57" s="37">
        <f>SUMPRODUCT(($AW$5:$BR$5="CO6")*AW57:BR57)</f>
        <v/>
      </c>
      <c r="BZ57" s="33">
        <f>SUM(BT57:BY57)</f>
        <v/>
      </c>
      <c r="CB57" s="38">
        <f>BT57/$BT$7*100</f>
        <v/>
      </c>
      <c r="CC57" s="38">
        <f>BU57/$BU$7*100</f>
        <v/>
      </c>
      <c r="CD57" s="38">
        <f>BV57/$BV$7*100</f>
        <v/>
      </c>
      <c r="CE57" s="38">
        <f>BW57/$BW$7*100</f>
        <v/>
      </c>
      <c r="CF57" s="38">
        <f>BX57/$BX$7*100</f>
        <v/>
      </c>
      <c r="CG57" s="38">
        <f>BY57/$BY$7*100</f>
        <v/>
      </c>
    </row>
    <row r="58" ht="15.5" customHeight="1">
      <c r="A58" s="43" t="n">
        <v>51</v>
      </c>
      <c r="B58" s="43" t="inlineStr">
        <is>
          <t>PRIYANKA K</t>
        </is>
      </c>
      <c r="C58" s="43" t="inlineStr">
        <is>
          <t>SECTION C</t>
        </is>
      </c>
      <c r="D58" s="42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28">
        <f>SUM(E58:P58)+(IF(Q58&lt;&gt;"",Q58,R58))+(IF(S58&lt;&gt;"",S58,T58))+(IF(U58&lt;&gt;"",U58,V58))+(IF(W58&lt;&gt;"",W58,X58))</f>
        <v/>
      </c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31">
        <f>SUM(AA58:AL58)+(IF(AM58&lt;&gt;"",AM58,AN58))+(IF(AO58&lt;&gt;"",AO58,AP58))+(IF(AQ58&lt;&gt;"",AQ58,AR58))+(IF(AS58&lt;&gt;"",AS58,AT58))</f>
        <v/>
      </c>
      <c r="AW58" s="29">
        <f>SUMPRODUCT(($E$5:$P$5="CO1")*(E58:P58))
+SUMPRODUCT(($AA$5:$AL$5="CO1")*(AA58:AL58))
+IF($Q$5="CO1",IF(Q58&lt;&gt;"",Q58,R58),0)
+IF($S$5="CO1",IF(S58&lt;&gt;"",S58,T58),0)
+IF($U$5="CO1",IF(U58&lt;&gt;"",U58,V58),0)
+IF($W$5="CO1",IF(W58&lt;&gt;"",W58,X58),0)
+IF($AM$5="CO1",IF(AM58&lt;&gt;"",AM58,AN58),0)
+IF($AO$5="CO1",IF(AO58&lt;&gt;"",AO58,AP58),0)
+IF($AQ$5="CO1",IF(AQ58&lt;&gt;"",AQ58,AR58),0)
+IF($AS$5="CO1",IF(AS58&lt;&gt;"",AS58,AT58),0)</f>
        <v/>
      </c>
      <c r="AX58" s="29">
        <f>SUMPRODUCT(($E$5:$P$5="CO2")*(E58:P58))
+SUMPRODUCT(($AA$5:$AL$5="CO2")*(AA58:AL58))
+IF($Q$5="CO2",IF(R58&lt;&gt;"",R58,S58),0)
+IF($S$5="CO2",IF(T58&lt;&gt;"",T58,U58),0)
+IF($U$5="CO2",IF(V58&lt;&gt;"",V58,W58),0)
+IF($W$5="CO2",IF(X58&lt;&gt;"",X58,Y58),0)
+IF($AM$5="CO2",IF(AN58&lt;&gt;"",AN58,AO58),0)
+IF($AO$5="CO2",IF(AP58&lt;&gt;"",AP58,AQ58),0)
+IF($AQ$5="CO2",IF(AR58&lt;&gt;"",AR58,AS58),0)
+IF($AS$5="CO2",IF(AT58&lt;&gt;"",AT58,AU58),0)</f>
        <v/>
      </c>
      <c r="AY58" s="29">
        <f>SUMPRODUCT(($E$5:$P$5="CO3")*(E58:P58))
+SUMPRODUCT(($AA$5:$AL$5="CO3")*(AA58:AL58))
+IF($Q$5="CO3",IF(Q58&lt;&gt;"",Q58,R58),0)
+IF($S$5="CO3",IF(S58&lt;&gt;"",S58,T58),0)
+IF($U$5="CO3",IF(U58&lt;&gt;"",U58,V58),0)
+IF($W$5="CO3",IF(W58&lt;&gt;"",W58,X58),0)
+IF($AM$5="CO3",IF(AM58&lt;&gt;"",AM58,AN58),0)
+IF($AO$5="CO3",IF(AO58&lt;&gt;"",AO58,AP58),0)
+IF($AQ$5="CO3",IF(AQ58&lt;&gt;"",AQ58,AR58),0)
+IF($AS$5="CO3",IF(AS58&lt;&gt;"",AS58,AT58),0)</f>
        <v/>
      </c>
      <c r="AZ58" s="29">
        <f>SUMPRODUCT(($E$5:$P$5="CO4")*(E58:P58))
+SUMPRODUCT(($AA$5:$AL$5="CO4")*(AA58:AL58))
+IF($Q$5="CO4",IF(Q58&lt;&gt;"",Q58,R58),0)
+IF($S$5="CO4",IF(S58&lt;&gt;"",S58,T58),0)
+IF($U$5="CO4",IF(U58&lt;&gt;"",U58,V58),0)
+IF($W$5="CO4",IF(W58&lt;&gt;"",W58,X58),0)
+IF($AM$5="CO4",IF(AM58&lt;&gt;"",AM58,AN58),0)
+IF($AO$5="CO4",IF(AO58&lt;&gt;"",AO58,AP58),0)
+IF($AQ$5="CO4",IF(AQ58&lt;&gt;"",AQ58,AR58),0)
+IF($AS$5="CO4",IF(AS58&lt;&gt;"",AS58,AT58),0)</f>
        <v/>
      </c>
      <c r="BA58" s="29">
        <f>SUMPRODUCT(($E$5:$P$5="CO5")*(E58:P58))
+SUMPRODUCT(($AA$5:$AL$5="CO5")*(AA58:AL58))
+IF($Q$5="CO5",IF(Q58&lt;&gt;"",Q58,R58),0)
+IF($S$5="CO5",IF(S58&lt;&gt;"",S58,T58),0)
+IF($U$5="CO5",IF(U58&lt;&gt;"",U58,V58),0)
+IF($W$5="CO5",IF(W58&lt;&gt;"",W58,X58),0)
+IF($AM$5="CO5",IF(AM58&lt;&gt;"",AM58,AN58),0)
+IF($AO$5="CO5",IF(AO58&lt;&gt;"",AO58,AP58),0)
+IF($AQ$5="CO5",IF(AQ58&lt;&gt;"",AQ58,AR58),0)
+IF($AS$5="CO5",IF(AS58&lt;&gt;"",AS58,AT58),0)</f>
        <v/>
      </c>
      <c r="BB58" s="29">
        <f>SUMPRODUCT(($E$5:$P$5="CO6")*(E58:P58))
+SUMPRODUCT(($AA$5:$AL$5="CO6")*(AA58:AL58))
+IF($Q$5="CO6",IF(Q58&lt;&gt;"",Q58,R58),0)
+IF($S$5="CO6",IF(S58&lt;&gt;"",S58,T58),0)
+IF($U$5="CO6",IF(U58&lt;&gt;"",U58,V58),0)
+IF($W$5="CO6",IF(W58&lt;&gt;"",W58,X58),0)
+IF($AM$5="CO6",IF(AM58&lt;&gt;"",AM58,AN58),0)
+IF($AO$5="CO6",IF(AO58&lt;&gt;"",AO58,AP58),0)
+IF($AQ$5="CO6",IF(AQ58&lt;&gt;"",AQ58,AR58),0)
+IF($AS$5="CO6",IF(AS58&lt;&gt;"",AS58,AT58),0)</f>
        <v/>
      </c>
      <c r="BD58" s="30" t="n">
        <v>12</v>
      </c>
      <c r="BE58" s="30" t="n">
        <v>14</v>
      </c>
      <c r="BF58" s="30" t="n">
        <v>14</v>
      </c>
      <c r="BG58" s="5" t="n"/>
      <c r="BH58" s="5" t="n"/>
      <c r="BI58" s="5" t="n"/>
      <c r="BJ58" s="25">
        <f>SUM(BD58:BI58)</f>
        <v/>
      </c>
      <c r="BL58" s="5" t="n">
        <v>8</v>
      </c>
      <c r="BM58" s="5" t="n">
        <v>8</v>
      </c>
      <c r="BN58" s="5" t="n">
        <v>12</v>
      </c>
      <c r="BO58" s="5" t="n">
        <v>12</v>
      </c>
      <c r="BP58" s="5" t="n"/>
      <c r="BQ58" s="5" t="n"/>
      <c r="BR58" s="33">
        <f>SUM(BL58:BQ58)</f>
        <v/>
      </c>
      <c r="BT58" s="36">
        <f>SUMPRODUCT(($AW$5:$BQ$5="CO1")*AW58:BQ58)</f>
        <v/>
      </c>
      <c r="BU58" s="37">
        <f>SUMPRODUCT(($AW$5:$BR$5="CO2")*AW58:BR58)</f>
        <v/>
      </c>
      <c r="BV58" s="37">
        <f>SUMPRODUCT(($AW$5:$BR$5="CO3")*AW58:BR58)</f>
        <v/>
      </c>
      <c r="BW58" s="37">
        <f>SUMPRODUCT(($AW$5:$BR$5="CO4")*AW58:BR58)</f>
        <v/>
      </c>
      <c r="BX58" s="37">
        <f>SUMPRODUCT(($AW$5:$BR$5="CO5")*AW58:BR58)</f>
        <v/>
      </c>
      <c r="BY58" s="37">
        <f>SUMPRODUCT(($AW$5:$BR$5="CO6")*AW58:BR58)</f>
        <v/>
      </c>
      <c r="BZ58" s="33">
        <f>SUM(BT58:BY58)</f>
        <v/>
      </c>
      <c r="CB58" s="38">
        <f>BT58/$BT$7*100</f>
        <v/>
      </c>
      <c r="CC58" s="38">
        <f>BU58/$BU$7*100</f>
        <v/>
      </c>
      <c r="CD58" s="38">
        <f>BV58/$BV$7*100</f>
        <v/>
      </c>
      <c r="CE58" s="38">
        <f>BW58/$BW$7*100</f>
        <v/>
      </c>
      <c r="CF58" s="38">
        <f>BX58/$BX$7*100</f>
        <v/>
      </c>
      <c r="CG58" s="38">
        <f>BY58/$BY$7*100</f>
        <v/>
      </c>
    </row>
    <row r="59" ht="15.5" customHeight="1">
      <c r="A59" s="43" t="n">
        <v>52</v>
      </c>
      <c r="B59" s="43" t="inlineStr">
        <is>
          <t>RAJA RAJESHWARI N</t>
        </is>
      </c>
      <c r="C59" s="43" t="inlineStr">
        <is>
          <t>SECTION C</t>
        </is>
      </c>
      <c r="D59" s="42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28">
        <f>SUM(E59:P59)+(IF(Q59&lt;&gt;"",Q59,R59))+(IF(S59&lt;&gt;"",S59,T59))+(IF(U59&lt;&gt;"",U59,V59))+(IF(W59&lt;&gt;"",W59,X59))</f>
        <v/>
      </c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31">
        <f>SUM(AA59:AL59)+(IF(AM59&lt;&gt;"",AM59,AN59))+(IF(AO59&lt;&gt;"",AO59,AP59))+(IF(AQ59&lt;&gt;"",AQ59,AR59))+(IF(AS59&lt;&gt;"",AS59,AT59))</f>
        <v/>
      </c>
      <c r="AW59" s="29">
        <f>SUMPRODUCT(($E$5:$P$5="CO1")*(E59:P59))
+SUMPRODUCT(($AA$5:$AL$5="CO1")*(AA59:AL59))
+IF($Q$5="CO1",IF(Q59&lt;&gt;"",Q59,R59),0)
+IF($S$5="CO1",IF(S59&lt;&gt;"",S59,T59),0)
+IF($U$5="CO1",IF(U59&lt;&gt;"",U59,V59),0)
+IF($W$5="CO1",IF(W59&lt;&gt;"",W59,X59),0)
+IF($AM$5="CO1",IF(AM59&lt;&gt;"",AM59,AN59),0)
+IF($AO$5="CO1",IF(AO59&lt;&gt;"",AO59,AP59),0)
+IF($AQ$5="CO1",IF(AQ59&lt;&gt;"",AQ59,AR59),0)
+IF($AS$5="CO1",IF(AS59&lt;&gt;"",AS59,AT59),0)</f>
        <v/>
      </c>
      <c r="AX59" s="29">
        <f>SUMPRODUCT(($E$5:$P$5="CO2")*(E59:P59))
+SUMPRODUCT(($AA$5:$AL$5="CO2")*(AA59:AL59))
+IF($Q$5="CO2",IF(R59&lt;&gt;"",R59,S59),0)
+IF($S$5="CO2",IF(T59&lt;&gt;"",T59,U59),0)
+IF($U$5="CO2",IF(V59&lt;&gt;"",V59,W59),0)
+IF($W$5="CO2",IF(X59&lt;&gt;"",X59,Y59),0)
+IF($AM$5="CO2",IF(AN59&lt;&gt;"",AN59,AO59),0)
+IF($AO$5="CO2",IF(AP59&lt;&gt;"",AP59,AQ59),0)
+IF($AQ$5="CO2",IF(AR59&lt;&gt;"",AR59,AS59),0)
+IF($AS$5="CO2",IF(AT59&lt;&gt;"",AT59,AU59),0)</f>
        <v/>
      </c>
      <c r="AY59" s="29">
        <f>SUMPRODUCT(($E$5:$P$5="CO3")*(E59:P59))
+SUMPRODUCT(($AA$5:$AL$5="CO3")*(AA59:AL59))
+IF($Q$5="CO3",IF(Q59&lt;&gt;"",Q59,R59),0)
+IF($S$5="CO3",IF(S59&lt;&gt;"",S59,T59),0)
+IF($U$5="CO3",IF(U59&lt;&gt;"",U59,V59),0)
+IF($W$5="CO3",IF(W59&lt;&gt;"",W59,X59),0)
+IF($AM$5="CO3",IF(AM59&lt;&gt;"",AM59,AN59),0)
+IF($AO$5="CO3",IF(AO59&lt;&gt;"",AO59,AP59),0)
+IF($AQ$5="CO3",IF(AQ59&lt;&gt;"",AQ59,AR59),0)
+IF($AS$5="CO3",IF(AS59&lt;&gt;"",AS59,AT59),0)</f>
        <v/>
      </c>
      <c r="AZ59" s="29">
        <f>SUMPRODUCT(($E$5:$P$5="CO4")*(E59:P59))
+SUMPRODUCT(($AA$5:$AL$5="CO4")*(AA59:AL59))
+IF($Q$5="CO4",IF(Q59&lt;&gt;"",Q59,R59),0)
+IF($S$5="CO4",IF(S59&lt;&gt;"",S59,T59),0)
+IF($U$5="CO4",IF(U59&lt;&gt;"",U59,V59),0)
+IF($W$5="CO4",IF(W59&lt;&gt;"",W59,X59),0)
+IF($AM$5="CO4",IF(AM59&lt;&gt;"",AM59,AN59),0)
+IF($AO$5="CO4",IF(AO59&lt;&gt;"",AO59,AP59),0)
+IF($AQ$5="CO4",IF(AQ59&lt;&gt;"",AQ59,AR59),0)
+IF($AS$5="CO4",IF(AS59&lt;&gt;"",AS59,AT59),0)</f>
        <v/>
      </c>
      <c r="BA59" s="29">
        <f>SUMPRODUCT(($E$5:$P$5="CO5")*(E59:P59))
+SUMPRODUCT(($AA$5:$AL$5="CO5")*(AA59:AL59))
+IF($Q$5="CO5",IF(Q59&lt;&gt;"",Q59,R59),0)
+IF($S$5="CO5",IF(S59&lt;&gt;"",S59,T59),0)
+IF($U$5="CO5",IF(U59&lt;&gt;"",U59,V59),0)
+IF($W$5="CO5",IF(W59&lt;&gt;"",W59,X59),0)
+IF($AM$5="CO5",IF(AM59&lt;&gt;"",AM59,AN59),0)
+IF($AO$5="CO5",IF(AO59&lt;&gt;"",AO59,AP59),0)
+IF($AQ$5="CO5",IF(AQ59&lt;&gt;"",AQ59,AR59),0)
+IF($AS$5="CO5",IF(AS59&lt;&gt;"",AS59,AT59),0)</f>
        <v/>
      </c>
      <c r="BB59" s="29">
        <f>SUMPRODUCT(($E$5:$P$5="CO6")*(E59:P59))
+SUMPRODUCT(($AA$5:$AL$5="CO6")*(AA59:AL59))
+IF($Q$5="CO6",IF(Q59&lt;&gt;"",Q59,R59),0)
+IF($S$5="CO6",IF(S59&lt;&gt;"",S59,T59),0)
+IF($U$5="CO6",IF(U59&lt;&gt;"",U59,V59),0)
+IF($W$5="CO6",IF(W59&lt;&gt;"",W59,X59),0)
+IF($AM$5="CO6",IF(AM59&lt;&gt;"",AM59,AN59),0)
+IF($AO$5="CO6",IF(AO59&lt;&gt;"",AO59,AP59),0)
+IF($AQ$5="CO6",IF(AQ59&lt;&gt;"",AQ59,AR59),0)
+IF($AS$5="CO6",IF(AS59&lt;&gt;"",AS59,AT59),0)</f>
        <v/>
      </c>
      <c r="BD59" s="30" t="n">
        <v>12</v>
      </c>
      <c r="BE59" s="30" t="n">
        <v>14</v>
      </c>
      <c r="BF59" s="30" t="n">
        <v>14</v>
      </c>
      <c r="BG59" s="5" t="n"/>
      <c r="BH59" s="5" t="n"/>
      <c r="BI59" s="5" t="n"/>
      <c r="BJ59" s="25">
        <f>SUM(BD59:BI59)</f>
        <v/>
      </c>
      <c r="BL59" s="5" t="n">
        <v>8</v>
      </c>
      <c r="BM59" s="5" t="n">
        <v>8</v>
      </c>
      <c r="BN59" s="5" t="n">
        <v>12</v>
      </c>
      <c r="BO59" s="5" t="n">
        <v>12</v>
      </c>
      <c r="BP59" s="5" t="n"/>
      <c r="BQ59" s="5" t="n"/>
      <c r="BR59" s="33">
        <f>SUM(BL59:BQ59)</f>
        <v/>
      </c>
      <c r="BT59" s="36">
        <f>SUMPRODUCT(($AW$5:$BQ$5="CO1")*AW59:BQ59)</f>
        <v/>
      </c>
      <c r="BU59" s="37">
        <f>SUMPRODUCT(($AW$5:$BR$5="CO2")*AW59:BR59)</f>
        <v/>
      </c>
      <c r="BV59" s="37">
        <f>SUMPRODUCT(($AW$5:$BR$5="CO3")*AW59:BR59)</f>
        <v/>
      </c>
      <c r="BW59" s="37">
        <f>SUMPRODUCT(($AW$5:$BR$5="CO4")*AW59:BR59)</f>
        <v/>
      </c>
      <c r="BX59" s="37">
        <f>SUMPRODUCT(($AW$5:$BR$5="CO5")*AW59:BR59)</f>
        <v/>
      </c>
      <c r="BY59" s="37">
        <f>SUMPRODUCT(($AW$5:$BR$5="CO6")*AW59:BR59)</f>
        <v/>
      </c>
      <c r="BZ59" s="33">
        <f>SUM(BT59:BY59)</f>
        <v/>
      </c>
      <c r="CB59" s="38">
        <f>BT59/$BT$7*100</f>
        <v/>
      </c>
      <c r="CC59" s="38">
        <f>BU59/$BU$7*100</f>
        <v/>
      </c>
      <c r="CD59" s="38">
        <f>BV59/$BV$7*100</f>
        <v/>
      </c>
      <c r="CE59" s="38">
        <f>BW59/$BW$7*100</f>
        <v/>
      </c>
      <c r="CF59" s="38">
        <f>BX59/$BX$7*100</f>
        <v/>
      </c>
      <c r="CG59" s="38">
        <f>BY59/$BY$7*100</f>
        <v/>
      </c>
    </row>
    <row r="60" ht="15.5" customHeight="1">
      <c r="A60" s="43" t="n">
        <v>53</v>
      </c>
      <c r="B60" s="43" t="inlineStr">
        <is>
          <t>RAMA JEYANTHI L</t>
        </is>
      </c>
      <c r="C60" s="43" t="inlineStr">
        <is>
          <t>SECTION C</t>
        </is>
      </c>
      <c r="D60" s="42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28">
        <f>SUM(E60:P60)+(IF(Q60&lt;&gt;"",Q60,R60))+(IF(S60&lt;&gt;"",S60,T60))+(IF(U60&lt;&gt;"",U60,V60))+(IF(W60&lt;&gt;"",W60,X60))</f>
        <v/>
      </c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31">
        <f>SUM(AA60:AL60)+(IF(AM60&lt;&gt;"",AM60,AN60))+(IF(AO60&lt;&gt;"",AO60,AP60))+(IF(AQ60&lt;&gt;"",AQ60,AR60))+(IF(AS60&lt;&gt;"",AS60,AT60))</f>
        <v/>
      </c>
      <c r="AW60" s="29">
        <f>SUMPRODUCT(($E$5:$P$5="CO1")*(E60:P60))
+SUMPRODUCT(($AA$5:$AL$5="CO1")*(AA60:AL60))
+IF($Q$5="CO1",IF(Q60&lt;&gt;"",Q60,R60),0)
+IF($S$5="CO1",IF(S60&lt;&gt;"",S60,T60),0)
+IF($U$5="CO1",IF(U60&lt;&gt;"",U60,V60),0)
+IF($W$5="CO1",IF(W60&lt;&gt;"",W60,X60),0)
+IF($AM$5="CO1",IF(AM60&lt;&gt;"",AM60,AN60),0)
+IF($AO$5="CO1",IF(AO60&lt;&gt;"",AO60,AP60),0)
+IF($AQ$5="CO1",IF(AQ60&lt;&gt;"",AQ60,AR60),0)
+IF($AS$5="CO1",IF(AS60&lt;&gt;"",AS60,AT60),0)</f>
        <v/>
      </c>
      <c r="AX60" s="29">
        <f>SUMPRODUCT(($E$5:$P$5="CO2")*(E60:P60))
+SUMPRODUCT(($AA$5:$AL$5="CO2")*(AA60:AL60))
+IF($Q$5="CO2",IF(R60&lt;&gt;"",R60,S60),0)
+IF($S$5="CO2",IF(T60&lt;&gt;"",T60,U60),0)
+IF($U$5="CO2",IF(V60&lt;&gt;"",V60,W60),0)
+IF($W$5="CO2",IF(X60&lt;&gt;"",X60,Y60),0)
+IF($AM$5="CO2",IF(AN60&lt;&gt;"",AN60,AO60),0)
+IF($AO$5="CO2",IF(AP60&lt;&gt;"",AP60,AQ60),0)
+IF($AQ$5="CO2",IF(AR60&lt;&gt;"",AR60,AS60),0)
+IF($AS$5="CO2",IF(AT60&lt;&gt;"",AT60,AU60),0)</f>
        <v/>
      </c>
      <c r="AY60" s="29">
        <f>SUMPRODUCT(($E$5:$P$5="CO3")*(E60:P60))
+SUMPRODUCT(($AA$5:$AL$5="CO3")*(AA60:AL60))
+IF($Q$5="CO3",IF(Q60&lt;&gt;"",Q60,R60),0)
+IF($S$5="CO3",IF(S60&lt;&gt;"",S60,T60),0)
+IF($U$5="CO3",IF(U60&lt;&gt;"",U60,V60),0)
+IF($W$5="CO3",IF(W60&lt;&gt;"",W60,X60),0)
+IF($AM$5="CO3",IF(AM60&lt;&gt;"",AM60,AN60),0)
+IF($AO$5="CO3",IF(AO60&lt;&gt;"",AO60,AP60),0)
+IF($AQ$5="CO3",IF(AQ60&lt;&gt;"",AQ60,AR60),0)
+IF($AS$5="CO3",IF(AS60&lt;&gt;"",AS60,AT60),0)</f>
        <v/>
      </c>
      <c r="AZ60" s="29">
        <f>SUMPRODUCT(($E$5:$P$5="CO4")*(E60:P60))
+SUMPRODUCT(($AA$5:$AL$5="CO4")*(AA60:AL60))
+IF($Q$5="CO4",IF(Q60&lt;&gt;"",Q60,R60),0)
+IF($S$5="CO4",IF(S60&lt;&gt;"",S60,T60),0)
+IF($U$5="CO4",IF(U60&lt;&gt;"",U60,V60),0)
+IF($W$5="CO4",IF(W60&lt;&gt;"",W60,X60),0)
+IF($AM$5="CO4",IF(AM60&lt;&gt;"",AM60,AN60),0)
+IF($AO$5="CO4",IF(AO60&lt;&gt;"",AO60,AP60),0)
+IF($AQ$5="CO4",IF(AQ60&lt;&gt;"",AQ60,AR60),0)
+IF($AS$5="CO4",IF(AS60&lt;&gt;"",AS60,AT60),0)</f>
        <v/>
      </c>
      <c r="BA60" s="29">
        <f>SUMPRODUCT(($E$5:$P$5="CO5")*(E60:P60))
+SUMPRODUCT(($AA$5:$AL$5="CO5")*(AA60:AL60))
+IF($Q$5="CO5",IF(Q60&lt;&gt;"",Q60,R60),0)
+IF($S$5="CO5",IF(S60&lt;&gt;"",S60,T60),0)
+IF($U$5="CO5",IF(U60&lt;&gt;"",U60,V60),0)
+IF($W$5="CO5",IF(W60&lt;&gt;"",W60,X60),0)
+IF($AM$5="CO5",IF(AM60&lt;&gt;"",AM60,AN60),0)
+IF($AO$5="CO5",IF(AO60&lt;&gt;"",AO60,AP60),0)
+IF($AQ$5="CO5",IF(AQ60&lt;&gt;"",AQ60,AR60),0)
+IF($AS$5="CO5",IF(AS60&lt;&gt;"",AS60,AT60),0)</f>
        <v/>
      </c>
      <c r="BB60" s="29">
        <f>SUMPRODUCT(($E$5:$P$5="CO6")*(E60:P60))
+SUMPRODUCT(($AA$5:$AL$5="CO6")*(AA60:AL60))
+IF($Q$5="CO6",IF(Q60&lt;&gt;"",Q60,R60),0)
+IF($S$5="CO6",IF(S60&lt;&gt;"",S60,T60),0)
+IF($U$5="CO6",IF(U60&lt;&gt;"",U60,V60),0)
+IF($W$5="CO6",IF(W60&lt;&gt;"",W60,X60),0)
+IF($AM$5="CO6",IF(AM60&lt;&gt;"",AM60,AN60),0)
+IF($AO$5="CO6",IF(AO60&lt;&gt;"",AO60,AP60),0)
+IF($AQ$5="CO6",IF(AQ60&lt;&gt;"",AQ60,AR60),0)
+IF($AS$5="CO6",IF(AS60&lt;&gt;"",AS60,AT60),0)</f>
        <v/>
      </c>
      <c r="BD60" s="30" t="n">
        <v>12</v>
      </c>
      <c r="BE60" s="30" t="n">
        <v>14</v>
      </c>
      <c r="BF60" s="30" t="n">
        <v>14</v>
      </c>
      <c r="BG60" s="5" t="n"/>
      <c r="BH60" s="5" t="n"/>
      <c r="BI60" s="5" t="n"/>
      <c r="BJ60" s="25">
        <f>SUM(BD60:BI60)</f>
        <v/>
      </c>
      <c r="BL60" s="5" t="n">
        <v>8</v>
      </c>
      <c r="BM60" s="5" t="n">
        <v>8</v>
      </c>
      <c r="BN60" s="5" t="n">
        <v>12</v>
      </c>
      <c r="BO60" s="5" t="n">
        <v>12</v>
      </c>
      <c r="BP60" s="5" t="n"/>
      <c r="BQ60" s="5" t="n"/>
      <c r="BR60" s="33">
        <f>SUM(BL60:BQ60)</f>
        <v/>
      </c>
      <c r="BT60" s="36">
        <f>SUMPRODUCT(($AW$5:$BQ$5="CO1")*AW60:BQ60)</f>
        <v/>
      </c>
      <c r="BU60" s="37">
        <f>SUMPRODUCT(($AW$5:$BR$5="CO2")*AW60:BR60)</f>
        <v/>
      </c>
      <c r="BV60" s="37">
        <f>SUMPRODUCT(($AW$5:$BR$5="CO3")*AW60:BR60)</f>
        <v/>
      </c>
      <c r="BW60" s="37">
        <f>SUMPRODUCT(($AW$5:$BR$5="CO4")*AW60:BR60)</f>
        <v/>
      </c>
      <c r="BX60" s="37">
        <f>SUMPRODUCT(($AW$5:$BR$5="CO5")*AW60:BR60)</f>
        <v/>
      </c>
      <c r="BY60" s="37">
        <f>SUMPRODUCT(($AW$5:$BR$5="CO6")*AW60:BR60)</f>
        <v/>
      </c>
      <c r="BZ60" s="33">
        <f>SUM(BT60:BY60)</f>
        <v/>
      </c>
      <c r="CB60" s="38">
        <f>BT60/$BT$7*100</f>
        <v/>
      </c>
      <c r="CC60" s="38">
        <f>BU60/$BU$7*100</f>
        <v/>
      </c>
      <c r="CD60" s="38">
        <f>BV60/$BV$7*100</f>
        <v/>
      </c>
      <c r="CE60" s="38">
        <f>BW60/$BW$7*100</f>
        <v/>
      </c>
      <c r="CF60" s="38">
        <f>BX60/$BX$7*100</f>
        <v/>
      </c>
      <c r="CG60" s="38">
        <f>BY60/$BY$7*100</f>
        <v/>
      </c>
    </row>
    <row r="61" ht="15.5" customHeight="1">
      <c r="A61" s="43" t="n">
        <v>54</v>
      </c>
      <c r="B61" s="43" t="inlineStr">
        <is>
          <t>SOWMIYA M</t>
        </is>
      </c>
      <c r="C61" s="43" t="inlineStr">
        <is>
          <t>SECTION C</t>
        </is>
      </c>
      <c r="D61" s="42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28">
        <f>SUM(E61:P61)+(IF(Q61&lt;&gt;"",Q61,R61))+(IF(S61&lt;&gt;"",S61,T61))+(IF(U61&lt;&gt;"",U61,V61))+(IF(W61&lt;&gt;"",W61,X61))</f>
        <v/>
      </c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31">
        <f>SUM(AA61:AL61)+(IF(AM61&lt;&gt;"",AM61,AN61))+(IF(AO61&lt;&gt;"",AO61,AP61))+(IF(AQ61&lt;&gt;"",AQ61,AR61))+(IF(AS61&lt;&gt;"",AS61,AT61))</f>
        <v/>
      </c>
      <c r="AW61" s="29">
        <f>SUMPRODUCT(($E$5:$P$5="CO1")*(E61:P61))
+SUMPRODUCT(($AA$5:$AL$5="CO1")*(AA61:AL61))
+IF($Q$5="CO1",IF(Q61&lt;&gt;"",Q61,R61),0)
+IF($S$5="CO1",IF(S61&lt;&gt;"",S61,T61),0)
+IF($U$5="CO1",IF(U61&lt;&gt;"",U61,V61),0)
+IF($W$5="CO1",IF(W61&lt;&gt;"",W61,X61),0)
+IF($AM$5="CO1",IF(AM61&lt;&gt;"",AM61,AN61),0)
+IF($AO$5="CO1",IF(AO61&lt;&gt;"",AO61,AP61),0)
+IF($AQ$5="CO1",IF(AQ61&lt;&gt;"",AQ61,AR61),0)
+IF($AS$5="CO1",IF(AS61&lt;&gt;"",AS61,AT61),0)</f>
        <v/>
      </c>
      <c r="AX61" s="29">
        <f>SUMPRODUCT(($E$5:$P$5="CO2")*(E61:P61))
+SUMPRODUCT(($AA$5:$AL$5="CO2")*(AA61:AL61))
+IF($Q$5="CO2",IF(R61&lt;&gt;"",R61,S61),0)
+IF($S$5="CO2",IF(T61&lt;&gt;"",T61,U61),0)
+IF($U$5="CO2",IF(V61&lt;&gt;"",V61,W61),0)
+IF($W$5="CO2",IF(X61&lt;&gt;"",X61,Y61),0)
+IF($AM$5="CO2",IF(AN61&lt;&gt;"",AN61,AO61),0)
+IF($AO$5="CO2",IF(AP61&lt;&gt;"",AP61,AQ61),0)
+IF($AQ$5="CO2",IF(AR61&lt;&gt;"",AR61,AS61),0)
+IF($AS$5="CO2",IF(AT61&lt;&gt;"",AT61,AU61),0)</f>
        <v/>
      </c>
      <c r="AY61" s="29">
        <f>SUMPRODUCT(($E$5:$P$5="CO3")*(E61:P61))
+SUMPRODUCT(($AA$5:$AL$5="CO3")*(AA61:AL61))
+IF($Q$5="CO3",IF(Q61&lt;&gt;"",Q61,R61),0)
+IF($S$5="CO3",IF(S61&lt;&gt;"",S61,T61),0)
+IF($U$5="CO3",IF(U61&lt;&gt;"",U61,V61),0)
+IF($W$5="CO3",IF(W61&lt;&gt;"",W61,X61),0)
+IF($AM$5="CO3",IF(AM61&lt;&gt;"",AM61,AN61),0)
+IF($AO$5="CO3",IF(AO61&lt;&gt;"",AO61,AP61),0)
+IF($AQ$5="CO3",IF(AQ61&lt;&gt;"",AQ61,AR61),0)
+IF($AS$5="CO3",IF(AS61&lt;&gt;"",AS61,AT61),0)</f>
        <v/>
      </c>
      <c r="AZ61" s="29">
        <f>SUMPRODUCT(($E$5:$P$5="CO4")*(E61:P61))
+SUMPRODUCT(($AA$5:$AL$5="CO4")*(AA61:AL61))
+IF($Q$5="CO4",IF(Q61&lt;&gt;"",Q61,R61),0)
+IF($S$5="CO4",IF(S61&lt;&gt;"",S61,T61),0)
+IF($U$5="CO4",IF(U61&lt;&gt;"",U61,V61),0)
+IF($W$5="CO4",IF(W61&lt;&gt;"",W61,X61),0)
+IF($AM$5="CO4",IF(AM61&lt;&gt;"",AM61,AN61),0)
+IF($AO$5="CO4",IF(AO61&lt;&gt;"",AO61,AP61),0)
+IF($AQ$5="CO4",IF(AQ61&lt;&gt;"",AQ61,AR61),0)
+IF($AS$5="CO4",IF(AS61&lt;&gt;"",AS61,AT61),0)</f>
        <v/>
      </c>
      <c r="BA61" s="29">
        <f>SUMPRODUCT(($E$5:$P$5="CO5")*(E61:P61))
+SUMPRODUCT(($AA$5:$AL$5="CO5")*(AA61:AL61))
+IF($Q$5="CO5",IF(Q61&lt;&gt;"",Q61,R61),0)
+IF($S$5="CO5",IF(S61&lt;&gt;"",S61,T61),0)
+IF($U$5="CO5",IF(U61&lt;&gt;"",U61,V61),0)
+IF($W$5="CO5",IF(W61&lt;&gt;"",W61,X61),0)
+IF($AM$5="CO5",IF(AM61&lt;&gt;"",AM61,AN61),0)
+IF($AO$5="CO5",IF(AO61&lt;&gt;"",AO61,AP61),0)
+IF($AQ$5="CO5",IF(AQ61&lt;&gt;"",AQ61,AR61),0)
+IF($AS$5="CO5",IF(AS61&lt;&gt;"",AS61,AT61),0)</f>
        <v/>
      </c>
      <c r="BB61" s="29">
        <f>SUMPRODUCT(($E$5:$P$5="CO6")*(E61:P61))
+SUMPRODUCT(($AA$5:$AL$5="CO6")*(AA61:AL61))
+IF($Q$5="CO6",IF(Q61&lt;&gt;"",Q61,R61),0)
+IF($S$5="CO6",IF(S61&lt;&gt;"",S61,T61),0)
+IF($U$5="CO6",IF(U61&lt;&gt;"",U61,V61),0)
+IF($W$5="CO6",IF(W61&lt;&gt;"",W61,X61),0)
+IF($AM$5="CO6",IF(AM61&lt;&gt;"",AM61,AN61),0)
+IF($AO$5="CO6",IF(AO61&lt;&gt;"",AO61,AP61),0)
+IF($AQ$5="CO6",IF(AQ61&lt;&gt;"",AQ61,AR61),0)
+IF($AS$5="CO6",IF(AS61&lt;&gt;"",AS61,AT61),0)</f>
        <v/>
      </c>
      <c r="BD61" s="30" t="n">
        <v>12</v>
      </c>
      <c r="BE61" s="30" t="n">
        <v>14</v>
      </c>
      <c r="BF61" s="30" t="n">
        <v>14</v>
      </c>
      <c r="BG61" s="5" t="n"/>
      <c r="BH61" s="5" t="n"/>
      <c r="BI61" s="5" t="n"/>
      <c r="BJ61" s="25">
        <f>SUM(BD61:BI61)</f>
        <v/>
      </c>
      <c r="BL61" s="5" t="n">
        <v>8</v>
      </c>
      <c r="BM61" s="5" t="n">
        <v>8</v>
      </c>
      <c r="BN61" s="5" t="n">
        <v>12</v>
      </c>
      <c r="BO61" s="5" t="n">
        <v>12</v>
      </c>
      <c r="BP61" s="5" t="n"/>
      <c r="BQ61" s="5" t="n"/>
      <c r="BR61" s="33">
        <f>SUM(BL61:BQ61)</f>
        <v/>
      </c>
      <c r="BT61" s="36">
        <f>SUMPRODUCT(($AW$5:$BQ$5="CO1")*AW61:BQ61)</f>
        <v/>
      </c>
      <c r="BU61" s="37">
        <f>SUMPRODUCT(($AW$5:$BR$5="CO2")*AW61:BR61)</f>
        <v/>
      </c>
      <c r="BV61" s="37">
        <f>SUMPRODUCT(($AW$5:$BR$5="CO3")*AW61:BR61)</f>
        <v/>
      </c>
      <c r="BW61" s="37">
        <f>SUMPRODUCT(($AW$5:$BR$5="CO4")*AW61:BR61)</f>
        <v/>
      </c>
      <c r="BX61" s="37">
        <f>SUMPRODUCT(($AW$5:$BR$5="CO5")*AW61:BR61)</f>
        <v/>
      </c>
      <c r="BY61" s="37">
        <f>SUMPRODUCT(($AW$5:$BR$5="CO6")*AW61:BR61)</f>
        <v/>
      </c>
      <c r="BZ61" s="33">
        <f>SUM(BT61:BY61)</f>
        <v/>
      </c>
      <c r="CB61" s="38">
        <f>BT61/$BT$7*100</f>
        <v/>
      </c>
      <c r="CC61" s="38">
        <f>BU61/$BU$7*100</f>
        <v/>
      </c>
      <c r="CD61" s="38">
        <f>BV61/$BV$7*100</f>
        <v/>
      </c>
      <c r="CE61" s="38">
        <f>BW61/$BW$7*100</f>
        <v/>
      </c>
      <c r="CF61" s="38">
        <f>BX61/$BX$7*100</f>
        <v/>
      </c>
      <c r="CG61" s="38">
        <f>BY61/$BY$7*100</f>
        <v/>
      </c>
    </row>
    <row r="62" ht="15.5" customHeight="1">
      <c r="A62" s="43" t="n">
        <v>55</v>
      </c>
      <c r="B62" s="43" t="inlineStr">
        <is>
          <t>SREE DURKA G</t>
        </is>
      </c>
      <c r="C62" s="43" t="inlineStr">
        <is>
          <t>SECTION C</t>
        </is>
      </c>
      <c r="D62" s="42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28">
        <f>SUM(E62:P62)+(IF(Q62&lt;&gt;"",Q62,R62))+(IF(S62&lt;&gt;"",S62,T62))+(IF(U62&lt;&gt;"",U62,V62))+(IF(W62&lt;&gt;"",W62,X62))</f>
        <v/>
      </c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31">
        <f>SUM(AA62:AL62)+(IF(AM62&lt;&gt;"",AM62,AN62))+(IF(AO62&lt;&gt;"",AO62,AP62))+(IF(AQ62&lt;&gt;"",AQ62,AR62))+(IF(AS62&lt;&gt;"",AS62,AT62))</f>
        <v/>
      </c>
      <c r="AW62" s="29">
        <f>SUMPRODUCT(($E$5:$P$5="CO1")*(E62:P62))
+SUMPRODUCT(($AA$5:$AL$5="CO1")*(AA62:AL62))
+IF($Q$5="CO1",IF(Q62&lt;&gt;"",Q62,R62),0)
+IF($S$5="CO1",IF(S62&lt;&gt;"",S62,T62),0)
+IF($U$5="CO1",IF(U62&lt;&gt;"",U62,V62),0)
+IF($W$5="CO1",IF(W62&lt;&gt;"",W62,X62),0)
+IF($AM$5="CO1",IF(AM62&lt;&gt;"",AM62,AN62),0)
+IF($AO$5="CO1",IF(AO62&lt;&gt;"",AO62,AP62),0)
+IF($AQ$5="CO1",IF(AQ62&lt;&gt;"",AQ62,AR62),0)
+IF($AS$5="CO1",IF(AS62&lt;&gt;"",AS62,AT62),0)</f>
        <v/>
      </c>
      <c r="AX62" s="29">
        <f>SUMPRODUCT(($E$5:$P$5="CO2")*(E62:P62))
+SUMPRODUCT(($AA$5:$AL$5="CO2")*(AA62:AL62))
+IF($Q$5="CO2",IF(R62&lt;&gt;"",R62,S62),0)
+IF($S$5="CO2",IF(T62&lt;&gt;"",T62,U62),0)
+IF($U$5="CO2",IF(V62&lt;&gt;"",V62,W62),0)
+IF($W$5="CO2",IF(X62&lt;&gt;"",X62,Y62),0)
+IF($AM$5="CO2",IF(AN62&lt;&gt;"",AN62,AO62),0)
+IF($AO$5="CO2",IF(AP62&lt;&gt;"",AP62,AQ62),0)
+IF($AQ$5="CO2",IF(AR62&lt;&gt;"",AR62,AS62),0)
+IF($AS$5="CO2",IF(AT62&lt;&gt;"",AT62,AU62),0)</f>
        <v/>
      </c>
      <c r="AY62" s="29">
        <f>SUMPRODUCT(($E$5:$P$5="CO3")*(E62:P62))
+SUMPRODUCT(($AA$5:$AL$5="CO3")*(AA62:AL62))
+IF($Q$5="CO3",IF(Q62&lt;&gt;"",Q62,R62),0)
+IF($S$5="CO3",IF(S62&lt;&gt;"",S62,T62),0)
+IF($U$5="CO3",IF(U62&lt;&gt;"",U62,V62),0)
+IF($W$5="CO3",IF(W62&lt;&gt;"",W62,X62),0)
+IF($AM$5="CO3",IF(AM62&lt;&gt;"",AM62,AN62),0)
+IF($AO$5="CO3",IF(AO62&lt;&gt;"",AO62,AP62),0)
+IF($AQ$5="CO3",IF(AQ62&lt;&gt;"",AQ62,AR62),0)
+IF($AS$5="CO3",IF(AS62&lt;&gt;"",AS62,AT62),0)</f>
        <v/>
      </c>
      <c r="AZ62" s="29">
        <f>SUMPRODUCT(($E$5:$P$5="CO4")*(E62:P62))
+SUMPRODUCT(($AA$5:$AL$5="CO4")*(AA62:AL62))
+IF($Q$5="CO4",IF(Q62&lt;&gt;"",Q62,R62),0)
+IF($S$5="CO4",IF(S62&lt;&gt;"",S62,T62),0)
+IF($U$5="CO4",IF(U62&lt;&gt;"",U62,V62),0)
+IF($W$5="CO4",IF(W62&lt;&gt;"",W62,X62),0)
+IF($AM$5="CO4",IF(AM62&lt;&gt;"",AM62,AN62),0)
+IF($AO$5="CO4",IF(AO62&lt;&gt;"",AO62,AP62),0)
+IF($AQ$5="CO4",IF(AQ62&lt;&gt;"",AQ62,AR62),0)
+IF($AS$5="CO4",IF(AS62&lt;&gt;"",AS62,AT62),0)</f>
        <v/>
      </c>
      <c r="BA62" s="29">
        <f>SUMPRODUCT(($E$5:$P$5="CO5")*(E62:P62))
+SUMPRODUCT(($AA$5:$AL$5="CO5")*(AA62:AL62))
+IF($Q$5="CO5",IF(Q62&lt;&gt;"",Q62,R62),0)
+IF($S$5="CO5",IF(S62&lt;&gt;"",S62,T62),0)
+IF($U$5="CO5",IF(U62&lt;&gt;"",U62,V62),0)
+IF($W$5="CO5",IF(W62&lt;&gt;"",W62,X62),0)
+IF($AM$5="CO5",IF(AM62&lt;&gt;"",AM62,AN62),0)
+IF($AO$5="CO5",IF(AO62&lt;&gt;"",AO62,AP62),0)
+IF($AQ$5="CO5",IF(AQ62&lt;&gt;"",AQ62,AR62),0)
+IF($AS$5="CO5",IF(AS62&lt;&gt;"",AS62,AT62),0)</f>
        <v/>
      </c>
      <c r="BB62" s="29">
        <f>SUMPRODUCT(($E$5:$P$5="CO6")*(E62:P62))
+SUMPRODUCT(($AA$5:$AL$5="CO6")*(AA62:AL62))
+IF($Q$5="CO6",IF(Q62&lt;&gt;"",Q62,R62),0)
+IF($S$5="CO6",IF(S62&lt;&gt;"",S62,T62),0)
+IF($U$5="CO6",IF(U62&lt;&gt;"",U62,V62),0)
+IF($W$5="CO6",IF(W62&lt;&gt;"",W62,X62),0)
+IF($AM$5="CO6",IF(AM62&lt;&gt;"",AM62,AN62),0)
+IF($AO$5="CO6",IF(AO62&lt;&gt;"",AO62,AP62),0)
+IF($AQ$5="CO6",IF(AQ62&lt;&gt;"",AQ62,AR62),0)
+IF($AS$5="CO6",IF(AS62&lt;&gt;"",AS62,AT62),0)</f>
        <v/>
      </c>
      <c r="BD62" s="30" t="n">
        <v>12</v>
      </c>
      <c r="BE62" s="30" t="n">
        <v>14</v>
      </c>
      <c r="BF62" s="30" t="n">
        <v>14</v>
      </c>
      <c r="BG62" s="5" t="n"/>
      <c r="BH62" s="5" t="n"/>
      <c r="BI62" s="5" t="n"/>
      <c r="BJ62" s="25">
        <f>SUM(BD62:BI62)</f>
        <v/>
      </c>
      <c r="BL62" s="5" t="n">
        <v>8</v>
      </c>
      <c r="BM62" s="5" t="n">
        <v>8</v>
      </c>
      <c r="BN62" s="5" t="n">
        <v>12</v>
      </c>
      <c r="BO62" s="5" t="n">
        <v>12</v>
      </c>
      <c r="BP62" s="5" t="n"/>
      <c r="BQ62" s="5" t="n"/>
      <c r="BR62" s="33">
        <f>SUM(BL62:BQ62)</f>
        <v/>
      </c>
      <c r="BT62" s="36">
        <f>SUMPRODUCT(($AW$5:$BQ$5="CO1")*AW62:BQ62)</f>
        <v/>
      </c>
      <c r="BU62" s="37">
        <f>SUMPRODUCT(($AW$5:$BR$5="CO2")*AW62:BR62)</f>
        <v/>
      </c>
      <c r="BV62" s="37">
        <f>SUMPRODUCT(($AW$5:$BR$5="CO3")*AW62:BR62)</f>
        <v/>
      </c>
      <c r="BW62" s="37">
        <f>SUMPRODUCT(($AW$5:$BR$5="CO4")*AW62:BR62)</f>
        <v/>
      </c>
      <c r="BX62" s="37">
        <f>SUMPRODUCT(($AW$5:$BR$5="CO5")*AW62:BR62)</f>
        <v/>
      </c>
      <c r="BY62" s="37">
        <f>SUMPRODUCT(($AW$5:$BR$5="CO6")*AW62:BR62)</f>
        <v/>
      </c>
      <c r="BZ62" s="33">
        <f>SUM(BT62:BY62)</f>
        <v/>
      </c>
      <c r="CB62" s="38">
        <f>BT62/$BT$7*100</f>
        <v/>
      </c>
      <c r="CC62" s="38">
        <f>BU62/$BU$7*100</f>
        <v/>
      </c>
      <c r="CD62" s="38">
        <f>BV62/$BV$7*100</f>
        <v/>
      </c>
      <c r="CE62" s="38">
        <f>BW62/$BW$7*100</f>
        <v/>
      </c>
      <c r="CF62" s="38">
        <f>BX62/$BX$7*100</f>
        <v/>
      </c>
      <c r="CG62" s="38">
        <f>BY62/$BY$7*100</f>
        <v/>
      </c>
    </row>
    <row r="63" ht="15.5" customHeight="1">
      <c r="A63" s="43" t="n">
        <v>56</v>
      </c>
      <c r="B63" s="43" t="inlineStr">
        <is>
          <t>SURUTHI K</t>
        </is>
      </c>
      <c r="C63" s="43" t="inlineStr">
        <is>
          <t>SECTION C</t>
        </is>
      </c>
      <c r="D63" s="42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28">
        <f>SUM(E63:P63)+(IF(Q63&lt;&gt;"",Q63,R63))+(IF(S63&lt;&gt;"",S63,T63))+(IF(U63&lt;&gt;"",U63,V63))+(IF(W63&lt;&gt;"",W63,X63))</f>
        <v/>
      </c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31">
        <f>SUM(AA63:AL63)+(IF(AM63&lt;&gt;"",AM63,AN63))+(IF(AO63&lt;&gt;"",AO63,AP63))+(IF(AQ63&lt;&gt;"",AQ63,AR63))+(IF(AS63&lt;&gt;"",AS63,AT63))</f>
        <v/>
      </c>
      <c r="AW63" s="29">
        <f>SUMPRODUCT(($E$5:$P$5="CO1")*(E63:P63))
+SUMPRODUCT(($AA$5:$AL$5="CO1")*(AA63:AL63))
+IF($Q$5="CO1",IF(Q63&lt;&gt;"",Q63,R63),0)
+IF($S$5="CO1",IF(S63&lt;&gt;"",S63,T63),0)
+IF($U$5="CO1",IF(U63&lt;&gt;"",U63,V63),0)
+IF($W$5="CO1",IF(W63&lt;&gt;"",W63,X63),0)
+IF($AM$5="CO1",IF(AM63&lt;&gt;"",AM63,AN63),0)
+IF($AO$5="CO1",IF(AO63&lt;&gt;"",AO63,AP63),0)
+IF($AQ$5="CO1",IF(AQ63&lt;&gt;"",AQ63,AR63),0)
+IF($AS$5="CO1",IF(AS63&lt;&gt;"",AS63,AT63),0)</f>
        <v/>
      </c>
      <c r="AX63" s="29">
        <f>SUMPRODUCT(($E$5:$P$5="CO2")*(E63:P63))
+SUMPRODUCT(($AA$5:$AL$5="CO2")*(AA63:AL63))
+IF($Q$5="CO2",IF(R63&lt;&gt;"",R63,S63),0)
+IF($S$5="CO2",IF(T63&lt;&gt;"",T63,U63),0)
+IF($U$5="CO2",IF(V63&lt;&gt;"",V63,W63),0)
+IF($W$5="CO2",IF(X63&lt;&gt;"",X63,Y63),0)
+IF($AM$5="CO2",IF(AN63&lt;&gt;"",AN63,AO63),0)
+IF($AO$5="CO2",IF(AP63&lt;&gt;"",AP63,AQ63),0)
+IF($AQ$5="CO2",IF(AR63&lt;&gt;"",AR63,AS63),0)
+IF($AS$5="CO2",IF(AT63&lt;&gt;"",AT63,AU63),0)</f>
        <v/>
      </c>
      <c r="AY63" s="29">
        <f>SUMPRODUCT(($E$5:$P$5="CO3")*(E63:P63))
+SUMPRODUCT(($AA$5:$AL$5="CO3")*(AA63:AL63))
+IF($Q$5="CO3",IF(Q63&lt;&gt;"",Q63,R63),0)
+IF($S$5="CO3",IF(S63&lt;&gt;"",S63,T63),0)
+IF($U$5="CO3",IF(U63&lt;&gt;"",U63,V63),0)
+IF($W$5="CO3",IF(W63&lt;&gt;"",W63,X63),0)
+IF($AM$5="CO3",IF(AM63&lt;&gt;"",AM63,AN63),0)
+IF($AO$5="CO3",IF(AO63&lt;&gt;"",AO63,AP63),0)
+IF($AQ$5="CO3",IF(AQ63&lt;&gt;"",AQ63,AR63),0)
+IF($AS$5="CO3",IF(AS63&lt;&gt;"",AS63,AT63),0)</f>
        <v/>
      </c>
      <c r="AZ63" s="29">
        <f>SUMPRODUCT(($E$5:$P$5="CO4")*(E63:P63))
+SUMPRODUCT(($AA$5:$AL$5="CO4")*(AA63:AL63))
+IF($Q$5="CO4",IF(Q63&lt;&gt;"",Q63,R63),0)
+IF($S$5="CO4",IF(S63&lt;&gt;"",S63,T63),0)
+IF($U$5="CO4",IF(U63&lt;&gt;"",U63,V63),0)
+IF($W$5="CO4",IF(W63&lt;&gt;"",W63,X63),0)
+IF($AM$5="CO4",IF(AM63&lt;&gt;"",AM63,AN63),0)
+IF($AO$5="CO4",IF(AO63&lt;&gt;"",AO63,AP63),0)
+IF($AQ$5="CO4",IF(AQ63&lt;&gt;"",AQ63,AR63),0)
+IF($AS$5="CO4",IF(AS63&lt;&gt;"",AS63,AT63),0)</f>
        <v/>
      </c>
      <c r="BA63" s="29">
        <f>SUMPRODUCT(($E$5:$P$5="CO5")*(E63:P63))
+SUMPRODUCT(($AA$5:$AL$5="CO5")*(AA63:AL63))
+IF($Q$5="CO5",IF(Q63&lt;&gt;"",Q63,R63),0)
+IF($S$5="CO5",IF(S63&lt;&gt;"",S63,T63),0)
+IF($U$5="CO5",IF(U63&lt;&gt;"",U63,V63),0)
+IF($W$5="CO5",IF(W63&lt;&gt;"",W63,X63),0)
+IF($AM$5="CO5",IF(AM63&lt;&gt;"",AM63,AN63),0)
+IF($AO$5="CO5",IF(AO63&lt;&gt;"",AO63,AP63),0)
+IF($AQ$5="CO5",IF(AQ63&lt;&gt;"",AQ63,AR63),0)
+IF($AS$5="CO5",IF(AS63&lt;&gt;"",AS63,AT63),0)</f>
        <v/>
      </c>
      <c r="BB63" s="29">
        <f>SUMPRODUCT(($E$5:$P$5="CO6")*(E63:P63))
+SUMPRODUCT(($AA$5:$AL$5="CO6")*(AA63:AL63))
+IF($Q$5="CO6",IF(Q63&lt;&gt;"",Q63,R63),0)
+IF($S$5="CO6",IF(S63&lt;&gt;"",S63,T63),0)
+IF($U$5="CO6",IF(U63&lt;&gt;"",U63,V63),0)
+IF($W$5="CO6",IF(W63&lt;&gt;"",W63,X63),0)
+IF($AM$5="CO6",IF(AM63&lt;&gt;"",AM63,AN63),0)
+IF($AO$5="CO6",IF(AO63&lt;&gt;"",AO63,AP63),0)
+IF($AQ$5="CO6",IF(AQ63&lt;&gt;"",AQ63,AR63),0)
+IF($AS$5="CO6",IF(AS63&lt;&gt;"",AS63,AT63),0)</f>
        <v/>
      </c>
      <c r="BD63" s="30" t="n">
        <v>12</v>
      </c>
      <c r="BE63" s="30" t="n">
        <v>14</v>
      </c>
      <c r="BF63" s="30" t="n">
        <v>14</v>
      </c>
      <c r="BG63" s="5" t="n"/>
      <c r="BH63" s="5" t="n"/>
      <c r="BI63" s="5" t="n"/>
      <c r="BJ63" s="25">
        <f>SUM(BD63:BI63)</f>
        <v/>
      </c>
      <c r="BL63" s="5" t="n">
        <v>8</v>
      </c>
      <c r="BM63" s="5" t="n">
        <v>8</v>
      </c>
      <c r="BN63" s="5" t="n">
        <v>12</v>
      </c>
      <c r="BO63" s="5" t="n">
        <v>12</v>
      </c>
      <c r="BP63" s="5" t="n"/>
      <c r="BQ63" s="5" t="n"/>
      <c r="BR63" s="33">
        <f>SUM(BL63:BQ63)</f>
        <v/>
      </c>
      <c r="BT63" s="36">
        <f>SUMPRODUCT(($AW$5:$BQ$5="CO1")*AW63:BQ63)</f>
        <v/>
      </c>
      <c r="BU63" s="37">
        <f>SUMPRODUCT(($AW$5:$BR$5="CO2")*AW63:BR63)</f>
        <v/>
      </c>
      <c r="BV63" s="37">
        <f>SUMPRODUCT(($AW$5:$BR$5="CO3")*AW63:BR63)</f>
        <v/>
      </c>
      <c r="BW63" s="37">
        <f>SUMPRODUCT(($AW$5:$BR$5="CO4")*AW63:BR63)</f>
        <v/>
      </c>
      <c r="BX63" s="37">
        <f>SUMPRODUCT(($AW$5:$BR$5="CO5")*AW63:BR63)</f>
        <v/>
      </c>
      <c r="BY63" s="37">
        <f>SUMPRODUCT(($AW$5:$BR$5="CO6")*AW63:BR63)</f>
        <v/>
      </c>
      <c r="BZ63" s="33">
        <f>SUM(BT63:BY63)</f>
        <v/>
      </c>
      <c r="CB63" s="38">
        <f>BT63/$BT$7*100</f>
        <v/>
      </c>
      <c r="CC63" s="38">
        <f>BU63/$BU$7*100</f>
        <v/>
      </c>
      <c r="CD63" s="38">
        <f>BV63/$BV$7*100</f>
        <v/>
      </c>
      <c r="CE63" s="38">
        <f>BW63/$BW$7*100</f>
        <v/>
      </c>
      <c r="CF63" s="38">
        <f>BX63/$BX$7*100</f>
        <v/>
      </c>
      <c r="CG63" s="38">
        <f>BY63/$BY$7*100</f>
        <v/>
      </c>
    </row>
    <row r="64" ht="15.5" customHeight="1">
      <c r="A64" s="43" t="n">
        <v>57</v>
      </c>
      <c r="B64" s="43" t="inlineStr">
        <is>
          <t>SWATHY K</t>
        </is>
      </c>
      <c r="C64" s="43" t="inlineStr">
        <is>
          <t>SECTION C</t>
        </is>
      </c>
      <c r="D64" s="42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28">
        <f>SUM(E64:P64)+(IF(Q64&lt;&gt;"",Q64,R64))+(IF(S64&lt;&gt;"",S64,T64))+(IF(U64&lt;&gt;"",U64,V64))+(IF(W64&lt;&gt;"",W64,X64))</f>
        <v/>
      </c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31">
        <f>SUM(AA64:AL64)+(IF(AM64&lt;&gt;"",AM64,AN64))+(IF(AO64&lt;&gt;"",AO64,AP64))+(IF(AQ64&lt;&gt;"",AQ64,AR64))+(IF(AS64&lt;&gt;"",AS64,AT64))</f>
        <v/>
      </c>
      <c r="AW64" s="29">
        <f>SUMPRODUCT(($E$5:$P$5="CO1")*(E64:P64))
+SUMPRODUCT(($AA$5:$AL$5="CO1")*(AA64:AL64))
+IF($Q$5="CO1",IF(Q64&lt;&gt;"",Q64,R64),0)
+IF($S$5="CO1",IF(S64&lt;&gt;"",S64,T64),0)
+IF($U$5="CO1",IF(U64&lt;&gt;"",U64,V64),0)
+IF($W$5="CO1",IF(W64&lt;&gt;"",W64,X64),0)
+IF($AM$5="CO1",IF(AM64&lt;&gt;"",AM64,AN64),0)
+IF($AO$5="CO1",IF(AO64&lt;&gt;"",AO64,AP64),0)
+IF($AQ$5="CO1",IF(AQ64&lt;&gt;"",AQ64,AR64),0)
+IF($AS$5="CO1",IF(AS64&lt;&gt;"",AS64,AT64),0)</f>
        <v/>
      </c>
      <c r="AX64" s="29">
        <f>SUMPRODUCT(($E$5:$P$5="CO2")*(E64:P64))
+SUMPRODUCT(($AA$5:$AL$5="CO2")*(AA64:AL64))
+IF($Q$5="CO2",IF(R64&lt;&gt;"",R64,S64),0)
+IF($S$5="CO2",IF(T64&lt;&gt;"",T64,U64),0)
+IF($U$5="CO2",IF(V64&lt;&gt;"",V64,W64),0)
+IF($W$5="CO2",IF(X64&lt;&gt;"",X64,Y64),0)
+IF($AM$5="CO2",IF(AN64&lt;&gt;"",AN64,AO64),0)
+IF($AO$5="CO2",IF(AP64&lt;&gt;"",AP64,AQ64),0)
+IF($AQ$5="CO2",IF(AR64&lt;&gt;"",AR64,AS64),0)
+IF($AS$5="CO2",IF(AT64&lt;&gt;"",AT64,AU64),0)</f>
        <v/>
      </c>
      <c r="AY64" s="29">
        <f>SUMPRODUCT(($E$5:$P$5="CO3")*(E64:P64))
+SUMPRODUCT(($AA$5:$AL$5="CO3")*(AA64:AL64))
+IF($Q$5="CO3",IF(Q64&lt;&gt;"",Q64,R64),0)
+IF($S$5="CO3",IF(S64&lt;&gt;"",S64,T64),0)
+IF($U$5="CO3",IF(U64&lt;&gt;"",U64,V64),0)
+IF($W$5="CO3",IF(W64&lt;&gt;"",W64,X64),0)
+IF($AM$5="CO3",IF(AM64&lt;&gt;"",AM64,AN64),0)
+IF($AO$5="CO3",IF(AO64&lt;&gt;"",AO64,AP64),0)
+IF($AQ$5="CO3",IF(AQ64&lt;&gt;"",AQ64,AR64),0)
+IF($AS$5="CO3",IF(AS64&lt;&gt;"",AS64,AT64),0)</f>
        <v/>
      </c>
      <c r="AZ64" s="29">
        <f>SUMPRODUCT(($E$5:$P$5="CO4")*(E64:P64))
+SUMPRODUCT(($AA$5:$AL$5="CO4")*(AA64:AL64))
+IF($Q$5="CO4",IF(Q64&lt;&gt;"",Q64,R64),0)
+IF($S$5="CO4",IF(S64&lt;&gt;"",S64,T64),0)
+IF($U$5="CO4",IF(U64&lt;&gt;"",U64,V64),0)
+IF($W$5="CO4",IF(W64&lt;&gt;"",W64,X64),0)
+IF($AM$5="CO4",IF(AM64&lt;&gt;"",AM64,AN64),0)
+IF($AO$5="CO4",IF(AO64&lt;&gt;"",AO64,AP64),0)
+IF($AQ$5="CO4",IF(AQ64&lt;&gt;"",AQ64,AR64),0)
+IF($AS$5="CO4",IF(AS64&lt;&gt;"",AS64,AT64),0)</f>
        <v/>
      </c>
      <c r="BA64" s="29">
        <f>SUMPRODUCT(($E$5:$P$5="CO5")*(E64:P64))
+SUMPRODUCT(($AA$5:$AL$5="CO5")*(AA64:AL64))
+IF($Q$5="CO5",IF(Q64&lt;&gt;"",Q64,R64),0)
+IF($S$5="CO5",IF(S64&lt;&gt;"",S64,T64),0)
+IF($U$5="CO5",IF(U64&lt;&gt;"",U64,V64),0)
+IF($W$5="CO5",IF(W64&lt;&gt;"",W64,X64),0)
+IF($AM$5="CO5",IF(AM64&lt;&gt;"",AM64,AN64),0)
+IF($AO$5="CO5",IF(AO64&lt;&gt;"",AO64,AP64),0)
+IF($AQ$5="CO5",IF(AQ64&lt;&gt;"",AQ64,AR64),0)
+IF($AS$5="CO5",IF(AS64&lt;&gt;"",AS64,AT64),0)</f>
        <v/>
      </c>
      <c r="BB64" s="29">
        <f>SUMPRODUCT(($E$5:$P$5="CO6")*(E64:P64))
+SUMPRODUCT(($AA$5:$AL$5="CO6")*(AA64:AL64))
+IF($Q$5="CO6",IF(Q64&lt;&gt;"",Q64,R64),0)
+IF($S$5="CO6",IF(S64&lt;&gt;"",S64,T64),0)
+IF($U$5="CO6",IF(U64&lt;&gt;"",U64,V64),0)
+IF($W$5="CO6",IF(W64&lt;&gt;"",W64,X64),0)
+IF($AM$5="CO6",IF(AM64&lt;&gt;"",AM64,AN64),0)
+IF($AO$5="CO6",IF(AO64&lt;&gt;"",AO64,AP64),0)
+IF($AQ$5="CO6",IF(AQ64&lt;&gt;"",AQ64,AR64),0)
+IF($AS$5="CO6",IF(AS64&lt;&gt;"",AS64,AT64),0)</f>
        <v/>
      </c>
      <c r="BD64" s="30" t="n">
        <v>12</v>
      </c>
      <c r="BE64" s="30" t="n">
        <v>14</v>
      </c>
      <c r="BF64" s="30" t="n">
        <v>14</v>
      </c>
      <c r="BG64" s="5" t="n"/>
      <c r="BH64" s="5" t="n"/>
      <c r="BI64" s="5" t="n"/>
      <c r="BJ64" s="25">
        <f>SUM(BD64:BI64)</f>
        <v/>
      </c>
      <c r="BL64" s="5" t="n">
        <v>8</v>
      </c>
      <c r="BM64" s="5" t="n">
        <v>8</v>
      </c>
      <c r="BN64" s="5" t="n">
        <v>12</v>
      </c>
      <c r="BO64" s="5" t="n">
        <v>12</v>
      </c>
      <c r="BP64" s="5" t="n"/>
      <c r="BQ64" s="5" t="n"/>
      <c r="BR64" s="33">
        <f>SUM(BL64:BQ64)</f>
        <v/>
      </c>
      <c r="BT64" s="36">
        <f>SUMPRODUCT(($AW$5:$BQ$5="CO1")*AW64:BQ64)</f>
        <v/>
      </c>
      <c r="BU64" s="37">
        <f>SUMPRODUCT(($AW$5:$BR$5="CO2")*AW64:BR64)</f>
        <v/>
      </c>
      <c r="BV64" s="37">
        <f>SUMPRODUCT(($AW$5:$BR$5="CO3")*AW64:BR64)</f>
        <v/>
      </c>
      <c r="BW64" s="37">
        <f>SUMPRODUCT(($AW$5:$BR$5="CO4")*AW64:BR64)</f>
        <v/>
      </c>
      <c r="BX64" s="37">
        <f>SUMPRODUCT(($AW$5:$BR$5="CO5")*AW64:BR64)</f>
        <v/>
      </c>
      <c r="BY64" s="37">
        <f>SUMPRODUCT(($AW$5:$BR$5="CO6")*AW64:BR64)</f>
        <v/>
      </c>
      <c r="BZ64" s="33">
        <f>SUM(BT64:BY64)</f>
        <v/>
      </c>
      <c r="CB64" s="38">
        <f>BT64/$BT$7*100</f>
        <v/>
      </c>
      <c r="CC64" s="38">
        <f>BU64/$BU$7*100</f>
        <v/>
      </c>
      <c r="CD64" s="38">
        <f>BV64/$BV$7*100</f>
        <v/>
      </c>
      <c r="CE64" s="38">
        <f>BW64/$BW$7*100</f>
        <v/>
      </c>
      <c r="CF64" s="38">
        <f>BX64/$BX$7*100</f>
        <v/>
      </c>
      <c r="CG64" s="38">
        <f>BY64/$BY$7*100</f>
        <v/>
      </c>
    </row>
    <row r="65" ht="15.5" customHeight="1">
      <c r="A65" s="43" t="n">
        <v>58</v>
      </c>
      <c r="B65" s="43" t="inlineStr">
        <is>
          <t>SWEETHA S</t>
        </is>
      </c>
      <c r="C65" s="43" t="inlineStr">
        <is>
          <t>SECTION C</t>
        </is>
      </c>
      <c r="D65" s="42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28">
        <f>SUM(E65:P65)+(IF(Q65&lt;&gt;"",Q65,R65))+(IF(S65&lt;&gt;"",S65,T65))+(IF(U65&lt;&gt;"",U65,V65))+(IF(W65&lt;&gt;"",W65,X65))</f>
        <v/>
      </c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31">
        <f>SUM(AA65:AL65)+(IF(AM65&lt;&gt;"",AM65,AN65))+(IF(AO65&lt;&gt;"",AO65,AP65))+(IF(AQ65&lt;&gt;"",AQ65,AR65))+(IF(AS65&lt;&gt;"",AS65,AT65))</f>
        <v/>
      </c>
      <c r="AW65" s="29">
        <f>SUMPRODUCT(($E$5:$P$5="CO1")*(E65:P65))
+SUMPRODUCT(($AA$5:$AL$5="CO1")*(AA65:AL65))
+IF($Q$5="CO1",IF(Q65&lt;&gt;"",Q65,R65),0)
+IF($S$5="CO1",IF(S65&lt;&gt;"",S65,T65),0)
+IF($U$5="CO1",IF(U65&lt;&gt;"",U65,V65),0)
+IF($W$5="CO1",IF(W65&lt;&gt;"",W65,X65),0)
+IF($AM$5="CO1",IF(AM65&lt;&gt;"",AM65,AN65),0)
+IF($AO$5="CO1",IF(AO65&lt;&gt;"",AO65,AP65),0)
+IF($AQ$5="CO1",IF(AQ65&lt;&gt;"",AQ65,AR65),0)
+IF($AS$5="CO1",IF(AS65&lt;&gt;"",AS65,AT65),0)</f>
        <v/>
      </c>
      <c r="AX65" s="29">
        <f>SUMPRODUCT(($E$5:$P$5="CO2")*(E65:P65))
+SUMPRODUCT(($AA$5:$AL$5="CO2")*(AA65:AL65))
+IF($Q$5="CO2",IF(R65&lt;&gt;"",R65,S65),0)
+IF($S$5="CO2",IF(T65&lt;&gt;"",T65,U65),0)
+IF($U$5="CO2",IF(V65&lt;&gt;"",V65,W65),0)
+IF($W$5="CO2",IF(X65&lt;&gt;"",X65,Y65),0)
+IF($AM$5="CO2",IF(AN65&lt;&gt;"",AN65,AO65),0)
+IF($AO$5="CO2",IF(AP65&lt;&gt;"",AP65,AQ65),0)
+IF($AQ$5="CO2",IF(AR65&lt;&gt;"",AR65,AS65),0)
+IF($AS$5="CO2",IF(AT65&lt;&gt;"",AT65,AU65),0)</f>
        <v/>
      </c>
      <c r="AY65" s="29">
        <f>SUMPRODUCT(($E$5:$P$5="CO3")*(E65:P65))
+SUMPRODUCT(($AA$5:$AL$5="CO3")*(AA65:AL65))
+IF($Q$5="CO3",IF(Q65&lt;&gt;"",Q65,R65),0)
+IF($S$5="CO3",IF(S65&lt;&gt;"",S65,T65),0)
+IF($U$5="CO3",IF(U65&lt;&gt;"",U65,V65),0)
+IF($W$5="CO3",IF(W65&lt;&gt;"",W65,X65),0)
+IF($AM$5="CO3",IF(AM65&lt;&gt;"",AM65,AN65),0)
+IF($AO$5="CO3",IF(AO65&lt;&gt;"",AO65,AP65),0)
+IF($AQ$5="CO3",IF(AQ65&lt;&gt;"",AQ65,AR65),0)
+IF($AS$5="CO3",IF(AS65&lt;&gt;"",AS65,AT65),0)</f>
        <v/>
      </c>
      <c r="AZ65" s="29">
        <f>SUMPRODUCT(($E$5:$P$5="CO4")*(E65:P65))
+SUMPRODUCT(($AA$5:$AL$5="CO4")*(AA65:AL65))
+IF($Q$5="CO4",IF(Q65&lt;&gt;"",Q65,R65),0)
+IF($S$5="CO4",IF(S65&lt;&gt;"",S65,T65),0)
+IF($U$5="CO4",IF(U65&lt;&gt;"",U65,V65),0)
+IF($W$5="CO4",IF(W65&lt;&gt;"",W65,X65),0)
+IF($AM$5="CO4",IF(AM65&lt;&gt;"",AM65,AN65),0)
+IF($AO$5="CO4",IF(AO65&lt;&gt;"",AO65,AP65),0)
+IF($AQ$5="CO4",IF(AQ65&lt;&gt;"",AQ65,AR65),0)
+IF($AS$5="CO4",IF(AS65&lt;&gt;"",AS65,AT65),0)</f>
        <v/>
      </c>
      <c r="BA65" s="29">
        <f>SUMPRODUCT(($E$5:$P$5="CO5")*(E65:P65))
+SUMPRODUCT(($AA$5:$AL$5="CO5")*(AA65:AL65))
+IF($Q$5="CO5",IF(Q65&lt;&gt;"",Q65,R65),0)
+IF($S$5="CO5",IF(S65&lt;&gt;"",S65,T65),0)
+IF($U$5="CO5",IF(U65&lt;&gt;"",U65,V65),0)
+IF($W$5="CO5",IF(W65&lt;&gt;"",W65,X65),0)
+IF($AM$5="CO5",IF(AM65&lt;&gt;"",AM65,AN65),0)
+IF($AO$5="CO5",IF(AO65&lt;&gt;"",AO65,AP65),0)
+IF($AQ$5="CO5",IF(AQ65&lt;&gt;"",AQ65,AR65),0)
+IF($AS$5="CO5",IF(AS65&lt;&gt;"",AS65,AT65),0)</f>
        <v/>
      </c>
      <c r="BB65" s="29">
        <f>SUMPRODUCT(($E$5:$P$5="CO6")*(E65:P65))
+SUMPRODUCT(($AA$5:$AL$5="CO6")*(AA65:AL65))
+IF($Q$5="CO6",IF(Q65&lt;&gt;"",Q65,R65),0)
+IF($S$5="CO6",IF(S65&lt;&gt;"",S65,T65),0)
+IF($U$5="CO6",IF(U65&lt;&gt;"",U65,V65),0)
+IF($W$5="CO6",IF(W65&lt;&gt;"",W65,X65),0)
+IF($AM$5="CO6",IF(AM65&lt;&gt;"",AM65,AN65),0)
+IF($AO$5="CO6",IF(AO65&lt;&gt;"",AO65,AP65),0)
+IF($AQ$5="CO6",IF(AQ65&lt;&gt;"",AQ65,AR65),0)
+IF($AS$5="CO6",IF(AS65&lt;&gt;"",AS65,AT65),0)</f>
        <v/>
      </c>
      <c r="BD65" s="30" t="n">
        <v>12</v>
      </c>
      <c r="BE65" s="30" t="n">
        <v>14</v>
      </c>
      <c r="BF65" s="30" t="n">
        <v>14</v>
      </c>
      <c r="BG65" s="5" t="n"/>
      <c r="BH65" s="5" t="n"/>
      <c r="BI65" s="5" t="n"/>
      <c r="BJ65" s="25">
        <f>SUM(BD65:BI65)</f>
        <v/>
      </c>
      <c r="BL65" s="5" t="n">
        <v>8</v>
      </c>
      <c r="BM65" s="5" t="n">
        <v>8</v>
      </c>
      <c r="BN65" s="5" t="n">
        <v>12</v>
      </c>
      <c r="BO65" s="5" t="n">
        <v>12</v>
      </c>
      <c r="BP65" s="5" t="n"/>
      <c r="BQ65" s="5" t="n"/>
      <c r="BR65" s="33">
        <f>SUM(BL65:BQ65)</f>
        <v/>
      </c>
      <c r="BT65" s="36">
        <f>SUMPRODUCT(($AW$5:$BQ$5="CO1")*AW65:BQ65)</f>
        <v/>
      </c>
      <c r="BU65" s="37">
        <f>SUMPRODUCT(($AW$5:$BR$5="CO2")*AW65:BR65)</f>
        <v/>
      </c>
      <c r="BV65" s="37">
        <f>SUMPRODUCT(($AW$5:$BR$5="CO3")*AW65:BR65)</f>
        <v/>
      </c>
      <c r="BW65" s="37">
        <f>SUMPRODUCT(($AW$5:$BR$5="CO4")*AW65:BR65)</f>
        <v/>
      </c>
      <c r="BX65" s="37">
        <f>SUMPRODUCT(($AW$5:$BR$5="CO5")*AW65:BR65)</f>
        <v/>
      </c>
      <c r="BY65" s="37">
        <f>SUMPRODUCT(($AW$5:$BR$5="CO6")*AW65:BR65)</f>
        <v/>
      </c>
      <c r="BZ65" s="33">
        <f>SUM(BT65:BY65)</f>
        <v/>
      </c>
      <c r="CB65" s="38">
        <f>BT65/$BT$7*100</f>
        <v/>
      </c>
      <c r="CC65" s="38">
        <f>BU65/$BU$7*100</f>
        <v/>
      </c>
      <c r="CD65" s="38">
        <f>BV65/$BV$7*100</f>
        <v/>
      </c>
      <c r="CE65" s="38">
        <f>BW65/$BW$7*100</f>
        <v/>
      </c>
      <c r="CF65" s="38">
        <f>BX65/$BX$7*100</f>
        <v/>
      </c>
      <c r="CG65" s="38">
        <f>BY65/$BY$7*100</f>
        <v/>
      </c>
    </row>
    <row r="66" ht="15.5" customHeight="1">
      <c r="A66" s="43" t="n">
        <v>59</v>
      </c>
      <c r="B66" s="43" t="inlineStr">
        <is>
          <t>SWETHA M</t>
        </is>
      </c>
      <c r="C66" s="43" t="inlineStr">
        <is>
          <t>SECTION C</t>
        </is>
      </c>
      <c r="D66" s="42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28">
        <f>SUM(E66:P66)+(IF(Q66&lt;&gt;"",Q66,R66))+(IF(S66&lt;&gt;"",S66,T66))+(IF(U66&lt;&gt;"",U66,V66))+(IF(W66&lt;&gt;"",W66,X66))</f>
        <v/>
      </c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31">
        <f>SUM(AA66:AL66)+(IF(AM66&lt;&gt;"",AM66,AN66))+(IF(AO66&lt;&gt;"",AO66,AP66))+(IF(AQ66&lt;&gt;"",AQ66,AR66))+(IF(AS66&lt;&gt;"",AS66,AT66))</f>
        <v/>
      </c>
      <c r="AW66" s="29">
        <f>SUMPRODUCT(($E$5:$P$5="CO1")*(E66:P66))
+SUMPRODUCT(($AA$5:$AL$5="CO1")*(AA66:AL66))
+IF($Q$5="CO1",IF(Q66&lt;&gt;"",Q66,R66),0)
+IF($S$5="CO1",IF(S66&lt;&gt;"",S66,T66),0)
+IF($U$5="CO1",IF(U66&lt;&gt;"",U66,V66),0)
+IF($W$5="CO1",IF(W66&lt;&gt;"",W66,X66),0)
+IF($AM$5="CO1",IF(AM66&lt;&gt;"",AM66,AN66),0)
+IF($AO$5="CO1",IF(AO66&lt;&gt;"",AO66,AP66),0)
+IF($AQ$5="CO1",IF(AQ66&lt;&gt;"",AQ66,AR66),0)
+IF($AS$5="CO1",IF(AS66&lt;&gt;"",AS66,AT66),0)</f>
        <v/>
      </c>
      <c r="AX66" s="29">
        <f>SUMPRODUCT(($E$5:$P$5="CO2")*(E66:P66))
+SUMPRODUCT(($AA$5:$AL$5="CO2")*(AA66:AL66))
+IF($Q$5="CO2",IF(R66&lt;&gt;"",R66,S66),0)
+IF($S$5="CO2",IF(T66&lt;&gt;"",T66,U66),0)
+IF($U$5="CO2",IF(V66&lt;&gt;"",V66,W66),0)
+IF($W$5="CO2",IF(X66&lt;&gt;"",X66,Y66),0)
+IF($AM$5="CO2",IF(AN66&lt;&gt;"",AN66,AO66),0)
+IF($AO$5="CO2",IF(AP66&lt;&gt;"",AP66,AQ66),0)
+IF($AQ$5="CO2",IF(AR66&lt;&gt;"",AR66,AS66),0)
+IF($AS$5="CO2",IF(AT66&lt;&gt;"",AT66,AU66),0)</f>
        <v/>
      </c>
      <c r="AY66" s="29">
        <f>SUMPRODUCT(($E$5:$P$5="CO3")*(E66:P66))
+SUMPRODUCT(($AA$5:$AL$5="CO3")*(AA66:AL66))
+IF($Q$5="CO3",IF(Q66&lt;&gt;"",Q66,R66),0)
+IF($S$5="CO3",IF(S66&lt;&gt;"",S66,T66),0)
+IF($U$5="CO3",IF(U66&lt;&gt;"",U66,V66),0)
+IF($W$5="CO3",IF(W66&lt;&gt;"",W66,X66),0)
+IF($AM$5="CO3",IF(AM66&lt;&gt;"",AM66,AN66),0)
+IF($AO$5="CO3",IF(AO66&lt;&gt;"",AO66,AP66),0)
+IF($AQ$5="CO3",IF(AQ66&lt;&gt;"",AQ66,AR66),0)
+IF($AS$5="CO3",IF(AS66&lt;&gt;"",AS66,AT66),0)</f>
        <v/>
      </c>
      <c r="AZ66" s="29">
        <f>SUMPRODUCT(($E$5:$P$5="CO4")*(E66:P66))
+SUMPRODUCT(($AA$5:$AL$5="CO4")*(AA66:AL66))
+IF($Q$5="CO4",IF(Q66&lt;&gt;"",Q66,R66),0)
+IF($S$5="CO4",IF(S66&lt;&gt;"",S66,T66),0)
+IF($U$5="CO4",IF(U66&lt;&gt;"",U66,V66),0)
+IF($W$5="CO4",IF(W66&lt;&gt;"",W66,X66),0)
+IF($AM$5="CO4",IF(AM66&lt;&gt;"",AM66,AN66),0)
+IF($AO$5="CO4",IF(AO66&lt;&gt;"",AO66,AP66),0)
+IF($AQ$5="CO4",IF(AQ66&lt;&gt;"",AQ66,AR66),0)
+IF($AS$5="CO4",IF(AS66&lt;&gt;"",AS66,AT66),0)</f>
        <v/>
      </c>
      <c r="BA66" s="29">
        <f>SUMPRODUCT(($E$5:$P$5="CO5")*(E66:P66))
+SUMPRODUCT(($AA$5:$AL$5="CO5")*(AA66:AL66))
+IF($Q$5="CO5",IF(Q66&lt;&gt;"",Q66,R66),0)
+IF($S$5="CO5",IF(S66&lt;&gt;"",S66,T66),0)
+IF($U$5="CO5",IF(U66&lt;&gt;"",U66,V66),0)
+IF($W$5="CO5",IF(W66&lt;&gt;"",W66,X66),0)
+IF($AM$5="CO5",IF(AM66&lt;&gt;"",AM66,AN66),0)
+IF($AO$5="CO5",IF(AO66&lt;&gt;"",AO66,AP66),0)
+IF($AQ$5="CO5",IF(AQ66&lt;&gt;"",AQ66,AR66),0)
+IF($AS$5="CO5",IF(AS66&lt;&gt;"",AS66,AT66),0)</f>
        <v/>
      </c>
      <c r="BB66" s="29">
        <f>SUMPRODUCT(($E$5:$P$5="CO6")*(E66:P66))
+SUMPRODUCT(($AA$5:$AL$5="CO6")*(AA66:AL66))
+IF($Q$5="CO6",IF(Q66&lt;&gt;"",Q66,R66),0)
+IF($S$5="CO6",IF(S66&lt;&gt;"",S66,T66),0)
+IF($U$5="CO6",IF(U66&lt;&gt;"",U66,V66),0)
+IF($W$5="CO6",IF(W66&lt;&gt;"",W66,X66),0)
+IF($AM$5="CO6",IF(AM66&lt;&gt;"",AM66,AN66),0)
+IF($AO$5="CO6",IF(AO66&lt;&gt;"",AO66,AP66),0)
+IF($AQ$5="CO6",IF(AQ66&lt;&gt;"",AQ66,AR66),0)
+IF($AS$5="CO6",IF(AS66&lt;&gt;"",AS66,AT66),0)</f>
        <v/>
      </c>
      <c r="BD66" s="30" t="n">
        <v>12</v>
      </c>
      <c r="BE66" s="30" t="n">
        <v>14</v>
      </c>
      <c r="BF66" s="30" t="n">
        <v>14</v>
      </c>
      <c r="BG66" s="5" t="n"/>
      <c r="BH66" s="5" t="n"/>
      <c r="BI66" s="5" t="n"/>
      <c r="BJ66" s="25">
        <f>SUM(BD66:BI66)</f>
        <v/>
      </c>
      <c r="BL66" s="5" t="n">
        <v>8</v>
      </c>
      <c r="BM66" s="5" t="n">
        <v>8</v>
      </c>
      <c r="BN66" s="5" t="n">
        <v>12</v>
      </c>
      <c r="BO66" s="5" t="n">
        <v>12</v>
      </c>
      <c r="BP66" s="5" t="n"/>
      <c r="BQ66" s="5" t="n"/>
      <c r="BR66" s="33">
        <f>SUM(BL66:BQ66)</f>
        <v/>
      </c>
      <c r="BT66" s="36">
        <f>SUMPRODUCT(($AW$5:$BQ$5="CO1")*AW66:BQ66)</f>
        <v/>
      </c>
      <c r="BU66" s="37">
        <f>SUMPRODUCT(($AW$5:$BR$5="CO2")*AW66:BR66)</f>
        <v/>
      </c>
      <c r="BV66" s="37">
        <f>SUMPRODUCT(($AW$5:$BR$5="CO3")*AW66:BR66)</f>
        <v/>
      </c>
      <c r="BW66" s="37">
        <f>SUMPRODUCT(($AW$5:$BR$5="CO4")*AW66:BR66)</f>
        <v/>
      </c>
      <c r="BX66" s="37">
        <f>SUMPRODUCT(($AW$5:$BR$5="CO5")*AW66:BR66)</f>
        <v/>
      </c>
      <c r="BY66" s="37">
        <f>SUMPRODUCT(($AW$5:$BR$5="CO6")*AW66:BR66)</f>
        <v/>
      </c>
      <c r="BZ66" s="33">
        <f>SUM(BT66:BY66)</f>
        <v/>
      </c>
      <c r="CB66" s="38">
        <f>BT66/$BT$7*100</f>
        <v/>
      </c>
      <c r="CC66" s="38">
        <f>BU66/$BU$7*100</f>
        <v/>
      </c>
      <c r="CD66" s="38">
        <f>BV66/$BV$7*100</f>
        <v/>
      </c>
      <c r="CE66" s="38">
        <f>BW66/$BW$7*100</f>
        <v/>
      </c>
      <c r="CF66" s="38">
        <f>BX66/$BX$7*100</f>
        <v/>
      </c>
      <c r="CG66" s="38">
        <f>BY66/$BY$7*100</f>
        <v/>
      </c>
    </row>
    <row r="67" ht="15.5" customHeight="1">
      <c r="A67" s="43" t="n">
        <v>60</v>
      </c>
      <c r="B67" s="43" t="inlineStr">
        <is>
          <t>VIKASINI M</t>
        </is>
      </c>
      <c r="C67" s="43" t="inlineStr">
        <is>
          <t>SECTION C</t>
        </is>
      </c>
      <c r="D67" s="42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28">
        <f>SUM(E67:P67)+(IF(Q67&lt;&gt;"",Q67,R67))+(IF(S67&lt;&gt;"",S67,T67))+(IF(U67&lt;&gt;"",U67,V67))+(IF(W67&lt;&gt;"",W67,X67))</f>
        <v/>
      </c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31">
        <f>SUM(AA67:AL67)+(IF(AM67&lt;&gt;"",AM67,AN67))+(IF(AO67&lt;&gt;"",AO67,AP67))+(IF(AQ67&lt;&gt;"",AQ67,AR67))+(IF(AS67&lt;&gt;"",AS67,AT67))</f>
        <v/>
      </c>
      <c r="AW67" s="29">
        <f>SUMPRODUCT(($E$5:$P$5="CO1")*(E67:P67))
+SUMPRODUCT(($AA$5:$AL$5="CO1")*(AA67:AL67))
+IF($Q$5="CO1",IF(Q67&lt;&gt;"",Q67,R67),0)
+IF($S$5="CO1",IF(S67&lt;&gt;"",S67,T67),0)
+IF($U$5="CO1",IF(U67&lt;&gt;"",U67,V67),0)
+IF($W$5="CO1",IF(W67&lt;&gt;"",W67,X67),0)
+IF($AM$5="CO1",IF(AM67&lt;&gt;"",AM67,AN67),0)
+IF($AO$5="CO1",IF(AO67&lt;&gt;"",AO67,AP67),0)
+IF($AQ$5="CO1",IF(AQ67&lt;&gt;"",AQ67,AR67),0)
+IF($AS$5="CO1",IF(AS67&lt;&gt;"",AS67,AT67),0)</f>
        <v/>
      </c>
      <c r="AX67" s="29">
        <f>SUMPRODUCT(($E$5:$P$5="CO2")*(E67:P67))
+SUMPRODUCT(($AA$5:$AL$5="CO2")*(AA67:AL67))
+IF($Q$5="CO2",IF(R67&lt;&gt;"",R67,S67),0)
+IF($S$5="CO2",IF(T67&lt;&gt;"",T67,U67),0)
+IF($U$5="CO2",IF(V67&lt;&gt;"",V67,W67),0)
+IF($W$5="CO2",IF(X67&lt;&gt;"",X67,Y67),0)
+IF($AM$5="CO2",IF(AN67&lt;&gt;"",AN67,AO67),0)
+IF($AO$5="CO2",IF(AP67&lt;&gt;"",AP67,AQ67),0)
+IF($AQ$5="CO2",IF(AR67&lt;&gt;"",AR67,AS67),0)
+IF($AS$5="CO2",IF(AT67&lt;&gt;"",AT67,AU67),0)</f>
        <v/>
      </c>
      <c r="AY67" s="29">
        <f>SUMPRODUCT(($E$5:$P$5="CO3")*(E67:P67))
+SUMPRODUCT(($AA$5:$AL$5="CO3")*(AA67:AL67))
+IF($Q$5="CO3",IF(Q67&lt;&gt;"",Q67,R67),0)
+IF($S$5="CO3",IF(S67&lt;&gt;"",S67,T67),0)
+IF($U$5="CO3",IF(U67&lt;&gt;"",U67,V67),0)
+IF($W$5="CO3",IF(W67&lt;&gt;"",W67,X67),0)
+IF($AM$5="CO3",IF(AM67&lt;&gt;"",AM67,AN67),0)
+IF($AO$5="CO3",IF(AO67&lt;&gt;"",AO67,AP67),0)
+IF($AQ$5="CO3",IF(AQ67&lt;&gt;"",AQ67,AR67),0)
+IF($AS$5="CO3",IF(AS67&lt;&gt;"",AS67,AT67),0)</f>
        <v/>
      </c>
      <c r="AZ67" s="29">
        <f>SUMPRODUCT(($E$5:$P$5="CO4")*(E67:P67))
+SUMPRODUCT(($AA$5:$AL$5="CO4")*(AA67:AL67))
+IF($Q$5="CO4",IF(Q67&lt;&gt;"",Q67,R67),0)
+IF($S$5="CO4",IF(S67&lt;&gt;"",S67,T67),0)
+IF($U$5="CO4",IF(U67&lt;&gt;"",U67,V67),0)
+IF($W$5="CO4",IF(W67&lt;&gt;"",W67,X67),0)
+IF($AM$5="CO4",IF(AM67&lt;&gt;"",AM67,AN67),0)
+IF($AO$5="CO4",IF(AO67&lt;&gt;"",AO67,AP67),0)
+IF($AQ$5="CO4",IF(AQ67&lt;&gt;"",AQ67,AR67),0)
+IF($AS$5="CO4",IF(AS67&lt;&gt;"",AS67,AT67),0)</f>
        <v/>
      </c>
      <c r="BA67" s="29">
        <f>SUMPRODUCT(($E$5:$P$5="CO5")*(E67:P67))
+SUMPRODUCT(($AA$5:$AL$5="CO5")*(AA67:AL67))
+IF($Q$5="CO5",IF(Q67&lt;&gt;"",Q67,R67),0)
+IF($S$5="CO5",IF(S67&lt;&gt;"",S67,T67),0)
+IF($U$5="CO5",IF(U67&lt;&gt;"",U67,V67),0)
+IF($W$5="CO5",IF(W67&lt;&gt;"",W67,X67),0)
+IF($AM$5="CO5",IF(AM67&lt;&gt;"",AM67,AN67),0)
+IF($AO$5="CO5",IF(AO67&lt;&gt;"",AO67,AP67),0)
+IF($AQ$5="CO5",IF(AQ67&lt;&gt;"",AQ67,AR67),0)
+IF($AS$5="CO5",IF(AS67&lt;&gt;"",AS67,AT67),0)</f>
        <v/>
      </c>
      <c r="BB67" s="29">
        <f>SUMPRODUCT(($E$5:$P$5="CO6")*(E67:P67))
+SUMPRODUCT(($AA$5:$AL$5="CO6")*(AA67:AL67))
+IF($Q$5="CO6",IF(Q67&lt;&gt;"",Q67,R67),0)
+IF($S$5="CO6",IF(S67&lt;&gt;"",S67,T67),0)
+IF($U$5="CO6",IF(U67&lt;&gt;"",U67,V67),0)
+IF($W$5="CO6",IF(W67&lt;&gt;"",W67,X67),0)
+IF($AM$5="CO6",IF(AM67&lt;&gt;"",AM67,AN67),0)
+IF($AO$5="CO6",IF(AO67&lt;&gt;"",AO67,AP67),0)
+IF($AQ$5="CO6",IF(AQ67&lt;&gt;"",AQ67,AR67),0)
+IF($AS$5="CO6",IF(AS67&lt;&gt;"",AS67,AT67),0)</f>
        <v/>
      </c>
      <c r="BD67" s="30" t="n">
        <v>12</v>
      </c>
      <c r="BE67" s="30" t="n">
        <v>14</v>
      </c>
      <c r="BF67" s="30" t="n">
        <v>14</v>
      </c>
      <c r="BG67" s="5" t="n"/>
      <c r="BH67" s="5" t="n"/>
      <c r="BI67" s="5" t="n"/>
      <c r="BJ67" s="25">
        <f>SUM(BD67:BI67)</f>
        <v/>
      </c>
      <c r="BL67" s="5" t="n">
        <v>8</v>
      </c>
      <c r="BM67" s="5" t="n">
        <v>8</v>
      </c>
      <c r="BN67" s="5" t="n">
        <v>12</v>
      </c>
      <c r="BO67" s="5" t="n">
        <v>12</v>
      </c>
      <c r="BP67" s="5" t="n"/>
      <c r="BQ67" s="5" t="n"/>
      <c r="BR67" s="33">
        <f>SUM(BL67:BQ67)</f>
        <v/>
      </c>
      <c r="BT67" s="36">
        <f>SUMPRODUCT(($AW$5:$BQ$5="CO1")*AW67:BQ67)</f>
        <v/>
      </c>
      <c r="BU67" s="37">
        <f>SUMPRODUCT(($AW$5:$BR$5="CO2")*AW67:BR67)</f>
        <v/>
      </c>
      <c r="BV67" s="37">
        <f>SUMPRODUCT(($AW$5:$BR$5="CO3")*AW67:BR67)</f>
        <v/>
      </c>
      <c r="BW67" s="37">
        <f>SUMPRODUCT(($AW$5:$BR$5="CO4")*AW67:BR67)</f>
        <v/>
      </c>
      <c r="BX67" s="37">
        <f>SUMPRODUCT(($AW$5:$BR$5="CO5")*AW67:BR67)</f>
        <v/>
      </c>
      <c r="BY67" s="37">
        <f>SUMPRODUCT(($AW$5:$BR$5="CO6")*AW67:BR67)</f>
        <v/>
      </c>
      <c r="BZ67" s="33">
        <f>SUM(BT67:BY67)</f>
        <v/>
      </c>
      <c r="CB67" s="38">
        <f>BT67/$BT$7*100</f>
        <v/>
      </c>
      <c r="CC67" s="38">
        <f>BU67/$BU$7*100</f>
        <v/>
      </c>
      <c r="CD67" s="38">
        <f>BV67/$BV$7*100</f>
        <v/>
      </c>
      <c r="CE67" s="38">
        <f>BW67/$BW$7*100</f>
        <v/>
      </c>
      <c r="CF67" s="38">
        <f>BX67/$BX$7*100</f>
        <v/>
      </c>
      <c r="CG67" s="38">
        <f>BY67/$BY$7*100</f>
        <v/>
      </c>
    </row>
    <row r="68" ht="15.5" customHeight="1">
      <c r="A68" s="43" t="n">
        <v>61</v>
      </c>
      <c r="B68" s="43" t="n"/>
      <c r="C68" s="43" t="n"/>
      <c r="D68" s="42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28">
        <f>SUM(E68:P68)+(IF(Q68&lt;&gt;"",Q68,R68))+(IF(S68&lt;&gt;"",S68,T68))+(IF(U68&lt;&gt;"",U68,V68))+(IF(W68&lt;&gt;"",W68,X68))</f>
        <v/>
      </c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31">
        <f>SUM(AA68:AL68)+(IF(AM68&lt;&gt;"",AM68,AN68))+(IF(AO68&lt;&gt;"",AO68,AP68))+(IF(AQ68&lt;&gt;"",AQ68,AR68))+(IF(AS68&lt;&gt;"",AS68,AT68))</f>
        <v/>
      </c>
      <c r="AW68" s="29">
        <f>SUMPRODUCT(($E$5:$P$5="CO1")*(E68:P68))
+SUMPRODUCT(($AA$5:$AL$5="CO1")*(AA68:AL68))
+IF($Q$5="CO1",IF(Q68&lt;&gt;"",Q68,R68),0)
+IF($S$5="CO1",IF(S68&lt;&gt;"",S68,T68),0)
+IF($U$5="CO1",IF(U68&lt;&gt;"",U68,V68),0)
+IF($W$5="CO1",IF(W68&lt;&gt;"",W68,X68),0)
+IF($AM$5="CO1",IF(AM68&lt;&gt;"",AM68,AN68),0)
+IF($AO$5="CO1",IF(AO68&lt;&gt;"",AO68,AP68),0)
+IF($AQ$5="CO1",IF(AQ68&lt;&gt;"",AQ68,AR68),0)
+IF($AS$5="CO1",IF(AS68&lt;&gt;"",AS68,AT68),0)</f>
        <v/>
      </c>
      <c r="AX68" s="29">
        <f>SUMPRODUCT(($E$5:$P$5="CO2")*(E68:P68))
+SUMPRODUCT(($AA$5:$AL$5="CO2")*(AA68:AL68))
+IF($Q$5="CO2",IF(R68&lt;&gt;"",R68,S68),0)
+IF($S$5="CO2",IF(T68&lt;&gt;"",T68,U68),0)
+IF($U$5="CO2",IF(V68&lt;&gt;"",V68,W68),0)
+IF($W$5="CO2",IF(X68&lt;&gt;"",X68,Y68),0)
+IF($AM$5="CO2",IF(AN68&lt;&gt;"",AN68,AO68),0)
+IF($AO$5="CO2",IF(AP68&lt;&gt;"",AP68,AQ68),0)
+IF($AQ$5="CO2",IF(AR68&lt;&gt;"",AR68,AS68),0)
+IF($AS$5="CO2",IF(AT68&lt;&gt;"",AT68,AU68),0)</f>
        <v/>
      </c>
      <c r="AY68" s="29">
        <f>SUMPRODUCT(($E$5:$P$5="CO3")*(E68:P68))
+SUMPRODUCT(($AA$5:$AL$5="CO3")*(AA68:AL68))
+IF($Q$5="CO3",IF(Q68&lt;&gt;"",Q68,R68),0)
+IF($S$5="CO3",IF(S68&lt;&gt;"",S68,T68),0)
+IF($U$5="CO3",IF(U68&lt;&gt;"",U68,V68),0)
+IF($W$5="CO3",IF(W68&lt;&gt;"",W68,X68),0)
+IF($AM$5="CO3",IF(AM68&lt;&gt;"",AM68,AN68),0)
+IF($AO$5="CO3",IF(AO68&lt;&gt;"",AO68,AP68),0)
+IF($AQ$5="CO3",IF(AQ68&lt;&gt;"",AQ68,AR68),0)
+IF($AS$5="CO3",IF(AS68&lt;&gt;"",AS68,AT68),0)</f>
        <v/>
      </c>
      <c r="AZ68" s="29">
        <f>SUMPRODUCT(($E$5:$P$5="CO4")*(E68:P68))
+SUMPRODUCT(($AA$5:$AL$5="CO4")*(AA68:AL68))
+IF($Q$5="CO4",IF(Q68&lt;&gt;"",Q68,R68),0)
+IF($S$5="CO4",IF(S68&lt;&gt;"",S68,T68),0)
+IF($U$5="CO4",IF(U68&lt;&gt;"",U68,V68),0)
+IF($W$5="CO4",IF(W68&lt;&gt;"",W68,X68),0)
+IF($AM$5="CO4",IF(AM68&lt;&gt;"",AM68,AN68),0)
+IF($AO$5="CO4",IF(AO68&lt;&gt;"",AO68,AP68),0)
+IF($AQ$5="CO4",IF(AQ68&lt;&gt;"",AQ68,AR68),0)
+IF($AS$5="CO4",IF(AS68&lt;&gt;"",AS68,AT68),0)</f>
        <v/>
      </c>
      <c r="BA68" s="29">
        <f>SUMPRODUCT(($E$5:$P$5="CO5")*(E68:P68))
+SUMPRODUCT(($AA$5:$AL$5="CO5")*(AA68:AL68))
+IF($Q$5="CO5",IF(Q68&lt;&gt;"",Q68,R68),0)
+IF($S$5="CO5",IF(S68&lt;&gt;"",S68,T68),0)
+IF($U$5="CO5",IF(U68&lt;&gt;"",U68,V68),0)
+IF($W$5="CO5",IF(W68&lt;&gt;"",W68,X68),0)
+IF($AM$5="CO5",IF(AM68&lt;&gt;"",AM68,AN68),0)
+IF($AO$5="CO5",IF(AO68&lt;&gt;"",AO68,AP68),0)
+IF($AQ$5="CO5",IF(AQ68&lt;&gt;"",AQ68,AR68),0)
+IF($AS$5="CO5",IF(AS68&lt;&gt;"",AS68,AT68),0)</f>
        <v/>
      </c>
      <c r="BB68" s="29">
        <f>SUMPRODUCT(($E$5:$P$5="CO6")*(E68:P68))
+SUMPRODUCT(($AA$5:$AL$5="CO6")*(AA68:AL68))
+IF($Q$5="CO6",IF(Q68&lt;&gt;"",Q68,R68),0)
+IF($S$5="CO6",IF(S68&lt;&gt;"",S68,T68),0)
+IF($U$5="CO6",IF(U68&lt;&gt;"",U68,V68),0)
+IF($W$5="CO6",IF(W68&lt;&gt;"",W68,X68),0)
+IF($AM$5="CO6",IF(AM68&lt;&gt;"",AM68,AN68),0)
+IF($AO$5="CO6",IF(AO68&lt;&gt;"",AO68,AP68),0)
+IF($AQ$5="CO6",IF(AQ68&lt;&gt;"",AQ68,AR68),0)
+IF($AS$5="CO6",IF(AS68&lt;&gt;"",AS68,AT68),0)</f>
        <v/>
      </c>
      <c r="BD68" s="30" t="n">
        <v>12</v>
      </c>
      <c r="BE68" s="30" t="n">
        <v>14</v>
      </c>
      <c r="BF68" s="30" t="n">
        <v>14</v>
      </c>
      <c r="BG68" s="5" t="n"/>
      <c r="BH68" s="5" t="n"/>
      <c r="BI68" s="5" t="n"/>
      <c r="BJ68" s="25">
        <f>SUM(BD68:BI68)</f>
        <v/>
      </c>
      <c r="BL68" s="5" t="n">
        <v>8</v>
      </c>
      <c r="BM68" s="5" t="n">
        <v>8</v>
      </c>
      <c r="BN68" s="5" t="n">
        <v>12</v>
      </c>
      <c r="BO68" s="5" t="n">
        <v>12</v>
      </c>
      <c r="BP68" s="5" t="n"/>
      <c r="BQ68" s="5" t="n"/>
      <c r="BR68" s="33">
        <f>SUM(BL68:BQ68)</f>
        <v/>
      </c>
      <c r="BT68" s="36">
        <f>SUMPRODUCT(($AW$5:$BQ$5="CO1")*AW68:BQ68)</f>
        <v/>
      </c>
      <c r="BU68" s="37">
        <f>SUMPRODUCT(($AW$5:$BR$5="CO2")*AW68:BR68)</f>
        <v/>
      </c>
      <c r="BV68" s="37">
        <f>SUMPRODUCT(($AW$5:$BR$5="CO3")*AW68:BR68)</f>
        <v/>
      </c>
      <c r="BW68" s="37">
        <f>SUMPRODUCT(($AW$5:$BR$5="CO4")*AW68:BR68)</f>
        <v/>
      </c>
      <c r="BX68" s="37">
        <f>SUMPRODUCT(($AW$5:$BR$5="CO5")*AW68:BR68)</f>
        <v/>
      </c>
      <c r="BY68" s="37">
        <f>SUMPRODUCT(($AW$5:$BR$5="CO6")*AW68:BR68)</f>
        <v/>
      </c>
      <c r="BZ68" s="33">
        <f>SUM(BT68:BY68)</f>
        <v/>
      </c>
      <c r="CB68" s="38">
        <f>BT68/$BT$7*100</f>
        <v/>
      </c>
      <c r="CC68" s="38">
        <f>BU68/$BU$7*100</f>
        <v/>
      </c>
      <c r="CD68" s="38">
        <f>BV68/$BV$7*100</f>
        <v/>
      </c>
      <c r="CE68" s="38">
        <f>BW68/$BW$7*100</f>
        <v/>
      </c>
      <c r="CF68" s="38">
        <f>BX68/$BX$7*100</f>
        <v/>
      </c>
      <c r="CG68" s="38">
        <f>BY68/$BY$7*100</f>
        <v/>
      </c>
    </row>
    <row r="69" ht="15.5" customHeight="1">
      <c r="A69" s="43" t="n">
        <v>62</v>
      </c>
      <c r="B69" s="43" t="n"/>
      <c r="C69" s="43" t="n"/>
      <c r="D69" s="42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28">
        <f>SUM(E69:P69)+(IF(Q69&lt;&gt;"",Q69,R69))+(IF(S69&lt;&gt;"",S69,T69))+(IF(U69&lt;&gt;"",U69,V69))+(IF(W69&lt;&gt;"",W69,X69))</f>
        <v/>
      </c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31">
        <f>SUM(AA69:AL69)+(IF(AM69&lt;&gt;"",AM69,AN69))+(IF(AO69&lt;&gt;"",AO69,AP69))+(IF(AQ69&lt;&gt;"",AQ69,AR69))+(IF(AS69&lt;&gt;"",AS69,AT69))</f>
        <v/>
      </c>
      <c r="AW69" s="29">
        <f>SUMPRODUCT(($E$5:$P$5="CO1")*(E69:P69))
+SUMPRODUCT(($AA$5:$AL$5="CO1")*(AA69:AL69))
+IF($Q$5="CO1",IF(Q69&lt;&gt;"",Q69,R69),0)
+IF($S$5="CO1",IF(S69&lt;&gt;"",S69,T69),0)
+IF($U$5="CO1",IF(U69&lt;&gt;"",U69,V69),0)
+IF($W$5="CO1",IF(W69&lt;&gt;"",W69,X69),0)
+IF($AM$5="CO1",IF(AM69&lt;&gt;"",AM69,AN69),0)
+IF($AO$5="CO1",IF(AO69&lt;&gt;"",AO69,AP69),0)
+IF($AQ$5="CO1",IF(AQ69&lt;&gt;"",AQ69,AR69),0)
+IF($AS$5="CO1",IF(AS69&lt;&gt;"",AS69,AT69),0)</f>
        <v/>
      </c>
      <c r="AX69" s="29">
        <f>SUMPRODUCT(($E$5:$P$5="CO2")*(E69:P69))
+SUMPRODUCT(($AA$5:$AL$5="CO2")*(AA69:AL69))
+IF($Q$5="CO2",IF(R69&lt;&gt;"",R69,S69),0)
+IF($S$5="CO2",IF(T69&lt;&gt;"",T69,U69),0)
+IF($U$5="CO2",IF(V69&lt;&gt;"",V69,W69),0)
+IF($W$5="CO2",IF(X69&lt;&gt;"",X69,Y69),0)
+IF($AM$5="CO2",IF(AN69&lt;&gt;"",AN69,AO69),0)
+IF($AO$5="CO2",IF(AP69&lt;&gt;"",AP69,AQ69),0)
+IF($AQ$5="CO2",IF(AR69&lt;&gt;"",AR69,AS69),0)
+IF($AS$5="CO2",IF(AT69&lt;&gt;"",AT69,AU69),0)</f>
        <v/>
      </c>
      <c r="AY69" s="29">
        <f>SUMPRODUCT(($E$5:$P$5="CO3")*(E69:P69))
+SUMPRODUCT(($AA$5:$AL$5="CO3")*(AA69:AL69))
+IF($Q$5="CO3",IF(Q69&lt;&gt;"",Q69,R69),0)
+IF($S$5="CO3",IF(S69&lt;&gt;"",S69,T69),0)
+IF($U$5="CO3",IF(U69&lt;&gt;"",U69,V69),0)
+IF($W$5="CO3",IF(W69&lt;&gt;"",W69,X69),0)
+IF($AM$5="CO3",IF(AM69&lt;&gt;"",AM69,AN69),0)
+IF($AO$5="CO3",IF(AO69&lt;&gt;"",AO69,AP69),0)
+IF($AQ$5="CO3",IF(AQ69&lt;&gt;"",AQ69,AR69),0)
+IF($AS$5="CO3",IF(AS69&lt;&gt;"",AS69,AT69),0)</f>
        <v/>
      </c>
      <c r="AZ69" s="29">
        <f>SUMPRODUCT(($E$5:$P$5="CO4")*(E69:P69))
+SUMPRODUCT(($AA$5:$AL$5="CO4")*(AA69:AL69))
+IF($Q$5="CO4",IF(Q69&lt;&gt;"",Q69,R69),0)
+IF($S$5="CO4",IF(S69&lt;&gt;"",S69,T69),0)
+IF($U$5="CO4",IF(U69&lt;&gt;"",U69,V69),0)
+IF($W$5="CO4",IF(W69&lt;&gt;"",W69,X69),0)
+IF($AM$5="CO4",IF(AM69&lt;&gt;"",AM69,AN69),0)
+IF($AO$5="CO4",IF(AO69&lt;&gt;"",AO69,AP69),0)
+IF($AQ$5="CO4",IF(AQ69&lt;&gt;"",AQ69,AR69),0)
+IF($AS$5="CO4",IF(AS69&lt;&gt;"",AS69,AT69),0)</f>
        <v/>
      </c>
      <c r="BA69" s="29">
        <f>SUMPRODUCT(($E$5:$P$5="CO5")*(E69:P69))
+SUMPRODUCT(($AA$5:$AL$5="CO5")*(AA69:AL69))
+IF($Q$5="CO5",IF(Q69&lt;&gt;"",Q69,R69),0)
+IF($S$5="CO5",IF(S69&lt;&gt;"",S69,T69),0)
+IF($U$5="CO5",IF(U69&lt;&gt;"",U69,V69),0)
+IF($W$5="CO5",IF(W69&lt;&gt;"",W69,X69),0)
+IF($AM$5="CO5",IF(AM69&lt;&gt;"",AM69,AN69),0)
+IF($AO$5="CO5",IF(AO69&lt;&gt;"",AO69,AP69),0)
+IF($AQ$5="CO5",IF(AQ69&lt;&gt;"",AQ69,AR69),0)
+IF($AS$5="CO5",IF(AS69&lt;&gt;"",AS69,AT69),0)</f>
        <v/>
      </c>
      <c r="BB69" s="29">
        <f>SUMPRODUCT(($E$5:$P$5="CO6")*(E69:P69))
+SUMPRODUCT(($AA$5:$AL$5="CO6")*(AA69:AL69))
+IF($Q$5="CO6",IF(Q69&lt;&gt;"",Q69,R69),0)
+IF($S$5="CO6",IF(S69&lt;&gt;"",S69,T69),0)
+IF($U$5="CO6",IF(U69&lt;&gt;"",U69,V69),0)
+IF($W$5="CO6",IF(W69&lt;&gt;"",W69,X69),0)
+IF($AM$5="CO6",IF(AM69&lt;&gt;"",AM69,AN69),0)
+IF($AO$5="CO6",IF(AO69&lt;&gt;"",AO69,AP69),0)
+IF($AQ$5="CO6",IF(AQ69&lt;&gt;"",AQ69,AR69),0)
+IF($AS$5="CO6",IF(AS69&lt;&gt;"",AS69,AT69),0)</f>
        <v/>
      </c>
      <c r="BD69" s="30" t="n">
        <v>12</v>
      </c>
      <c r="BE69" s="30" t="n">
        <v>14</v>
      </c>
      <c r="BF69" s="30" t="n">
        <v>14</v>
      </c>
      <c r="BG69" s="5" t="n"/>
      <c r="BH69" s="5" t="n"/>
      <c r="BI69" s="5" t="n"/>
      <c r="BJ69" s="25">
        <f>SUM(BD69:BI69)</f>
        <v/>
      </c>
      <c r="BL69" s="5" t="n">
        <v>8</v>
      </c>
      <c r="BM69" s="5" t="n">
        <v>8</v>
      </c>
      <c r="BN69" s="5" t="n">
        <v>12</v>
      </c>
      <c r="BO69" s="5" t="n">
        <v>12</v>
      </c>
      <c r="BP69" s="5" t="n"/>
      <c r="BQ69" s="5" t="n"/>
      <c r="BR69" s="33">
        <f>SUM(BL69:BQ69)</f>
        <v/>
      </c>
      <c r="BT69" s="36">
        <f>SUMPRODUCT(($AW$5:$BQ$5="CO1")*AW69:BQ69)</f>
        <v/>
      </c>
      <c r="BU69" s="37">
        <f>SUMPRODUCT(($AW$5:$BR$5="CO2")*AW69:BR69)</f>
        <v/>
      </c>
      <c r="BV69" s="37">
        <f>SUMPRODUCT(($AW$5:$BR$5="CO3")*AW69:BR69)</f>
        <v/>
      </c>
      <c r="BW69" s="37">
        <f>SUMPRODUCT(($AW$5:$BR$5="CO4")*AW69:BR69)</f>
        <v/>
      </c>
      <c r="BX69" s="37">
        <f>SUMPRODUCT(($AW$5:$BR$5="CO5")*AW69:BR69)</f>
        <v/>
      </c>
      <c r="BY69" s="37">
        <f>SUMPRODUCT(($AW$5:$BR$5="CO6")*AW69:BR69)</f>
        <v/>
      </c>
      <c r="BZ69" s="33">
        <f>SUM(BT69:BY69)</f>
        <v/>
      </c>
      <c r="CB69" s="38">
        <f>BT69/$BT$7*100</f>
        <v/>
      </c>
      <c r="CC69" s="38">
        <f>BU69/$BU$7*100</f>
        <v/>
      </c>
      <c r="CD69" s="38">
        <f>BV69/$BV$7*100</f>
        <v/>
      </c>
      <c r="CE69" s="38">
        <f>BW69/$BW$7*100</f>
        <v/>
      </c>
      <c r="CF69" s="38">
        <f>BX69/$BX$7*100</f>
        <v/>
      </c>
      <c r="CG69" s="38">
        <f>BY69/$BY$7*100</f>
        <v/>
      </c>
    </row>
    <row r="70" ht="15.5" customHeight="1">
      <c r="A70" s="43" t="n">
        <v>63</v>
      </c>
      <c r="B70" s="43" t="n"/>
      <c r="C70" s="43" t="n"/>
      <c r="D70" s="42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28">
        <f>SUM(E70:P70)+(IF(Q70&lt;&gt;"",Q70,R70))+(IF(S70&lt;&gt;"",S70,T70))+(IF(U70&lt;&gt;"",U70,V70))+(IF(W70&lt;&gt;"",W70,X70))</f>
        <v/>
      </c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31">
        <f>SUM(AA70:AL70)+(IF(AM70&lt;&gt;"",AM70,AN70))+(IF(AO70&lt;&gt;"",AO70,AP70))+(IF(AQ70&lt;&gt;"",AQ70,AR70))+(IF(AS70&lt;&gt;"",AS70,AT70))</f>
        <v/>
      </c>
      <c r="AW70" s="29">
        <f>SUMPRODUCT(($E$5:$P$5="CO1")*(E70:P70))
+SUMPRODUCT(($AA$5:$AL$5="CO1")*(AA70:AL70))
+IF($Q$5="CO1",IF(Q70&lt;&gt;"",Q70,R70),0)
+IF($S$5="CO1",IF(S70&lt;&gt;"",S70,T70),0)
+IF($U$5="CO1",IF(U70&lt;&gt;"",U70,V70),0)
+IF($W$5="CO1",IF(W70&lt;&gt;"",W70,X70),0)
+IF($AM$5="CO1",IF(AM70&lt;&gt;"",AM70,AN70),0)
+IF($AO$5="CO1",IF(AO70&lt;&gt;"",AO70,AP70),0)
+IF($AQ$5="CO1",IF(AQ70&lt;&gt;"",AQ70,AR70),0)
+IF($AS$5="CO1",IF(AS70&lt;&gt;"",AS70,AT70),0)</f>
        <v/>
      </c>
      <c r="AX70" s="29">
        <f>SUMPRODUCT(($E$5:$P$5="CO2")*(E70:P70))
+SUMPRODUCT(($AA$5:$AL$5="CO2")*(AA70:AL70))
+IF($Q$5="CO2",IF(R70&lt;&gt;"",R70,S70),0)
+IF($S$5="CO2",IF(T70&lt;&gt;"",T70,U70),0)
+IF($U$5="CO2",IF(V70&lt;&gt;"",V70,W70),0)
+IF($W$5="CO2",IF(X70&lt;&gt;"",X70,Y70),0)
+IF($AM$5="CO2",IF(AN70&lt;&gt;"",AN70,AO70),0)
+IF($AO$5="CO2",IF(AP70&lt;&gt;"",AP70,AQ70),0)
+IF($AQ$5="CO2",IF(AR70&lt;&gt;"",AR70,AS70),0)
+IF($AS$5="CO2",IF(AT70&lt;&gt;"",AT70,AU70),0)</f>
        <v/>
      </c>
      <c r="AY70" s="29">
        <f>SUMPRODUCT(($E$5:$P$5="CO3")*(E70:P70))
+SUMPRODUCT(($AA$5:$AL$5="CO3")*(AA70:AL70))
+IF($Q$5="CO3",IF(Q70&lt;&gt;"",Q70,R70),0)
+IF($S$5="CO3",IF(S70&lt;&gt;"",S70,T70),0)
+IF($U$5="CO3",IF(U70&lt;&gt;"",U70,V70),0)
+IF($W$5="CO3",IF(W70&lt;&gt;"",W70,X70),0)
+IF($AM$5="CO3",IF(AM70&lt;&gt;"",AM70,AN70),0)
+IF($AO$5="CO3",IF(AO70&lt;&gt;"",AO70,AP70),0)
+IF($AQ$5="CO3",IF(AQ70&lt;&gt;"",AQ70,AR70),0)
+IF($AS$5="CO3",IF(AS70&lt;&gt;"",AS70,AT70),0)</f>
        <v/>
      </c>
      <c r="AZ70" s="29">
        <f>SUMPRODUCT(($E$5:$P$5="CO4")*(E70:P70))
+SUMPRODUCT(($AA$5:$AL$5="CO4")*(AA70:AL70))
+IF($Q$5="CO4",IF(Q70&lt;&gt;"",Q70,R70),0)
+IF($S$5="CO4",IF(S70&lt;&gt;"",S70,T70),0)
+IF($U$5="CO4",IF(U70&lt;&gt;"",U70,V70),0)
+IF($W$5="CO4",IF(W70&lt;&gt;"",W70,X70),0)
+IF($AM$5="CO4",IF(AM70&lt;&gt;"",AM70,AN70),0)
+IF($AO$5="CO4",IF(AO70&lt;&gt;"",AO70,AP70),0)
+IF($AQ$5="CO4",IF(AQ70&lt;&gt;"",AQ70,AR70),0)
+IF($AS$5="CO4",IF(AS70&lt;&gt;"",AS70,AT70),0)</f>
        <v/>
      </c>
      <c r="BA70" s="29">
        <f>SUMPRODUCT(($E$5:$P$5="CO5")*(E70:P70))
+SUMPRODUCT(($AA$5:$AL$5="CO5")*(AA70:AL70))
+IF($Q$5="CO5",IF(Q70&lt;&gt;"",Q70,R70),0)
+IF($S$5="CO5",IF(S70&lt;&gt;"",S70,T70),0)
+IF($U$5="CO5",IF(U70&lt;&gt;"",U70,V70),0)
+IF($W$5="CO5",IF(W70&lt;&gt;"",W70,X70),0)
+IF($AM$5="CO5",IF(AM70&lt;&gt;"",AM70,AN70),0)
+IF($AO$5="CO5",IF(AO70&lt;&gt;"",AO70,AP70),0)
+IF($AQ$5="CO5",IF(AQ70&lt;&gt;"",AQ70,AR70),0)
+IF($AS$5="CO5",IF(AS70&lt;&gt;"",AS70,AT70),0)</f>
        <v/>
      </c>
      <c r="BB70" s="29">
        <f>SUMPRODUCT(($E$5:$P$5="CO6")*(E70:P70))
+SUMPRODUCT(($AA$5:$AL$5="CO6")*(AA70:AL70))
+IF($Q$5="CO6",IF(Q70&lt;&gt;"",Q70,R70),0)
+IF($S$5="CO6",IF(S70&lt;&gt;"",S70,T70),0)
+IF($U$5="CO6",IF(U70&lt;&gt;"",U70,V70),0)
+IF($W$5="CO6",IF(W70&lt;&gt;"",W70,X70),0)
+IF($AM$5="CO6",IF(AM70&lt;&gt;"",AM70,AN70),0)
+IF($AO$5="CO6",IF(AO70&lt;&gt;"",AO70,AP70),0)
+IF($AQ$5="CO6",IF(AQ70&lt;&gt;"",AQ70,AR70),0)
+IF($AS$5="CO6",IF(AS70&lt;&gt;"",AS70,AT70),0)</f>
        <v/>
      </c>
      <c r="BD70" s="30" t="n">
        <v>12</v>
      </c>
      <c r="BE70" s="30" t="n">
        <v>14</v>
      </c>
      <c r="BF70" s="30" t="n">
        <v>14</v>
      </c>
      <c r="BG70" s="5" t="n"/>
      <c r="BH70" s="5" t="n"/>
      <c r="BI70" s="5" t="n"/>
      <c r="BJ70" s="25">
        <f>SUM(BD70:BI70)</f>
        <v/>
      </c>
      <c r="BL70" s="5" t="n">
        <v>8</v>
      </c>
      <c r="BM70" s="5" t="n">
        <v>8</v>
      </c>
      <c r="BN70" s="5" t="n">
        <v>12</v>
      </c>
      <c r="BO70" s="5" t="n">
        <v>12</v>
      </c>
      <c r="BP70" s="5" t="n"/>
      <c r="BQ70" s="5" t="n"/>
      <c r="BR70" s="33">
        <f>SUM(BL70:BQ70)</f>
        <v/>
      </c>
      <c r="BT70" s="36">
        <f>SUMPRODUCT(($AW$5:$BQ$5="CO1")*AW70:BQ70)</f>
        <v/>
      </c>
      <c r="BU70" s="37">
        <f>SUMPRODUCT(($AW$5:$BR$5="CO2")*AW70:BR70)</f>
        <v/>
      </c>
      <c r="BV70" s="37">
        <f>SUMPRODUCT(($AW$5:$BR$5="CO3")*AW70:BR70)</f>
        <v/>
      </c>
      <c r="BW70" s="37">
        <f>SUMPRODUCT(($AW$5:$BR$5="CO4")*AW70:BR70)</f>
        <v/>
      </c>
      <c r="BX70" s="37">
        <f>SUMPRODUCT(($AW$5:$BR$5="CO5")*AW70:BR70)</f>
        <v/>
      </c>
      <c r="BY70" s="37">
        <f>SUMPRODUCT(($AW$5:$BR$5="CO6")*AW70:BR70)</f>
        <v/>
      </c>
      <c r="BZ70" s="33">
        <f>SUM(BT70:BY70)</f>
        <v/>
      </c>
      <c r="CB70" s="38">
        <f>BT70/$BT$7*100</f>
        <v/>
      </c>
      <c r="CC70" s="38">
        <f>BU70/$BU$7*100</f>
        <v/>
      </c>
      <c r="CD70" s="38">
        <f>BV70/$BV$7*100</f>
        <v/>
      </c>
      <c r="CE70" s="38">
        <f>BW70/$BW$7*100</f>
        <v/>
      </c>
      <c r="CF70" s="38">
        <f>BX70/$BX$7*100</f>
        <v/>
      </c>
      <c r="CG70" s="38">
        <f>BY70/$BY$7*100</f>
        <v/>
      </c>
    </row>
    <row r="71" ht="15.5" customHeight="1">
      <c r="A71" s="43" t="n">
        <v>64</v>
      </c>
      <c r="B71" s="43" t="n"/>
      <c r="C71" s="43" t="n"/>
      <c r="D71" s="42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28">
        <f>SUM(E71:P71)+(IF(Q71&lt;&gt;"",Q71,R71))+(IF(S71&lt;&gt;"",S71,T71))+(IF(U71&lt;&gt;"",U71,V71))+(IF(W71&lt;&gt;"",W71,X71))</f>
        <v/>
      </c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31">
        <f>SUM(AA71:AL71)+(IF(AM71&lt;&gt;"",AM71,AN71))+(IF(AO71&lt;&gt;"",AO71,AP71))+(IF(AQ71&lt;&gt;"",AQ71,AR71))+(IF(AS71&lt;&gt;"",AS71,AT71))</f>
        <v/>
      </c>
      <c r="AW71" s="29">
        <f>SUMPRODUCT(($E$5:$P$5="CO1")*(E71:P71))
+SUMPRODUCT(($AA$5:$AL$5="CO1")*(AA71:AL71))
+IF($Q$5="CO1",IF(Q71&lt;&gt;"",Q71,R71),0)
+IF($S$5="CO1",IF(S71&lt;&gt;"",S71,T71),0)
+IF($U$5="CO1",IF(U71&lt;&gt;"",U71,V71),0)
+IF($W$5="CO1",IF(W71&lt;&gt;"",W71,X71),0)
+IF($AM$5="CO1",IF(AM71&lt;&gt;"",AM71,AN71),0)
+IF($AO$5="CO1",IF(AO71&lt;&gt;"",AO71,AP71),0)
+IF($AQ$5="CO1",IF(AQ71&lt;&gt;"",AQ71,AR71),0)
+IF($AS$5="CO1",IF(AS71&lt;&gt;"",AS71,AT71),0)</f>
        <v/>
      </c>
      <c r="AX71" s="29">
        <f>SUMPRODUCT(($E$5:$P$5="CO2")*(E71:P71))
+SUMPRODUCT(($AA$5:$AL$5="CO2")*(AA71:AL71))
+IF($Q$5="CO2",IF(R71&lt;&gt;"",R71,S71),0)
+IF($S$5="CO2",IF(T71&lt;&gt;"",T71,U71),0)
+IF($U$5="CO2",IF(V71&lt;&gt;"",V71,W71),0)
+IF($W$5="CO2",IF(X71&lt;&gt;"",X71,Y71),0)
+IF($AM$5="CO2",IF(AN71&lt;&gt;"",AN71,AO71),0)
+IF($AO$5="CO2",IF(AP71&lt;&gt;"",AP71,AQ71),0)
+IF($AQ$5="CO2",IF(AR71&lt;&gt;"",AR71,AS71),0)
+IF($AS$5="CO2",IF(AT71&lt;&gt;"",AT71,AU71),0)</f>
        <v/>
      </c>
      <c r="AY71" s="29">
        <f>SUMPRODUCT(($E$5:$P$5="CO3")*(E71:P71))
+SUMPRODUCT(($AA$5:$AL$5="CO3")*(AA71:AL71))
+IF($Q$5="CO3",IF(Q71&lt;&gt;"",Q71,R71),0)
+IF($S$5="CO3",IF(S71&lt;&gt;"",S71,T71),0)
+IF($U$5="CO3",IF(U71&lt;&gt;"",U71,V71),0)
+IF($W$5="CO3",IF(W71&lt;&gt;"",W71,X71),0)
+IF($AM$5="CO3",IF(AM71&lt;&gt;"",AM71,AN71),0)
+IF($AO$5="CO3",IF(AO71&lt;&gt;"",AO71,AP71),0)
+IF($AQ$5="CO3",IF(AQ71&lt;&gt;"",AQ71,AR71),0)
+IF($AS$5="CO3",IF(AS71&lt;&gt;"",AS71,AT71),0)</f>
        <v/>
      </c>
      <c r="AZ71" s="29">
        <f>SUMPRODUCT(($E$5:$P$5="CO4")*(E71:P71))
+SUMPRODUCT(($AA$5:$AL$5="CO4")*(AA71:AL71))
+IF($Q$5="CO4",IF(Q71&lt;&gt;"",Q71,R71),0)
+IF($S$5="CO4",IF(S71&lt;&gt;"",S71,T71),0)
+IF($U$5="CO4",IF(U71&lt;&gt;"",U71,V71),0)
+IF($W$5="CO4",IF(W71&lt;&gt;"",W71,X71),0)
+IF($AM$5="CO4",IF(AM71&lt;&gt;"",AM71,AN71),0)
+IF($AO$5="CO4",IF(AO71&lt;&gt;"",AO71,AP71),0)
+IF($AQ$5="CO4",IF(AQ71&lt;&gt;"",AQ71,AR71),0)
+IF($AS$5="CO4",IF(AS71&lt;&gt;"",AS71,AT71),0)</f>
        <v/>
      </c>
      <c r="BA71" s="29">
        <f>SUMPRODUCT(($E$5:$P$5="CO5")*(E71:P71))
+SUMPRODUCT(($AA$5:$AL$5="CO5")*(AA71:AL71))
+IF($Q$5="CO5",IF(Q71&lt;&gt;"",Q71,R71),0)
+IF($S$5="CO5",IF(S71&lt;&gt;"",S71,T71),0)
+IF($U$5="CO5",IF(U71&lt;&gt;"",U71,V71),0)
+IF($W$5="CO5",IF(W71&lt;&gt;"",W71,X71),0)
+IF($AM$5="CO5",IF(AM71&lt;&gt;"",AM71,AN71),0)
+IF($AO$5="CO5",IF(AO71&lt;&gt;"",AO71,AP71),0)
+IF($AQ$5="CO5",IF(AQ71&lt;&gt;"",AQ71,AR71),0)
+IF($AS$5="CO5",IF(AS71&lt;&gt;"",AS71,AT71),0)</f>
        <v/>
      </c>
      <c r="BB71" s="29">
        <f>SUMPRODUCT(($E$5:$P$5="CO6")*(E71:P71))
+SUMPRODUCT(($AA$5:$AL$5="CO6")*(AA71:AL71))
+IF($Q$5="CO6",IF(Q71&lt;&gt;"",Q71,R71),0)
+IF($S$5="CO6",IF(S71&lt;&gt;"",S71,T71),0)
+IF($U$5="CO6",IF(U71&lt;&gt;"",U71,V71),0)
+IF($W$5="CO6",IF(W71&lt;&gt;"",W71,X71),0)
+IF($AM$5="CO6",IF(AM71&lt;&gt;"",AM71,AN71),0)
+IF($AO$5="CO6",IF(AO71&lt;&gt;"",AO71,AP71),0)
+IF($AQ$5="CO6",IF(AQ71&lt;&gt;"",AQ71,AR71),0)
+IF($AS$5="CO6",IF(AS71&lt;&gt;"",AS71,AT71),0)</f>
        <v/>
      </c>
      <c r="BD71" s="30" t="n">
        <v>12</v>
      </c>
      <c r="BE71" s="30" t="n">
        <v>14</v>
      </c>
      <c r="BF71" s="30" t="n">
        <v>14</v>
      </c>
      <c r="BG71" s="5" t="n"/>
      <c r="BH71" s="5" t="n"/>
      <c r="BI71" s="5" t="n"/>
      <c r="BJ71" s="25">
        <f>SUM(BD71:BI71)</f>
        <v/>
      </c>
      <c r="BL71" s="5" t="n">
        <v>8</v>
      </c>
      <c r="BM71" s="5" t="n">
        <v>8</v>
      </c>
      <c r="BN71" s="5" t="n">
        <v>12</v>
      </c>
      <c r="BO71" s="5" t="n">
        <v>12</v>
      </c>
      <c r="BP71" s="5" t="n"/>
      <c r="BQ71" s="5" t="n"/>
      <c r="BR71" s="33">
        <f>SUM(BL71:BQ71)</f>
        <v/>
      </c>
      <c r="BT71" s="36">
        <f>SUMPRODUCT(($AW$5:$BQ$5="CO1")*AW71:BQ71)</f>
        <v/>
      </c>
      <c r="BU71" s="37">
        <f>SUMPRODUCT(($AW$5:$BR$5="CO2")*AW71:BR71)</f>
        <v/>
      </c>
      <c r="BV71" s="37">
        <f>SUMPRODUCT(($AW$5:$BR$5="CO3")*AW71:BR71)</f>
        <v/>
      </c>
      <c r="BW71" s="37">
        <f>SUMPRODUCT(($AW$5:$BR$5="CO4")*AW71:BR71)</f>
        <v/>
      </c>
      <c r="BX71" s="37">
        <f>SUMPRODUCT(($AW$5:$BR$5="CO5")*AW71:BR71)</f>
        <v/>
      </c>
      <c r="BY71" s="37">
        <f>SUMPRODUCT(($AW$5:$BR$5="CO6")*AW71:BR71)</f>
        <v/>
      </c>
      <c r="BZ71" s="33">
        <f>SUM(BT71:BY71)</f>
        <v/>
      </c>
      <c r="CB71" s="38">
        <f>BT71/$BT$7*100</f>
        <v/>
      </c>
      <c r="CC71" s="38">
        <f>BU71/$BU$7*100</f>
        <v/>
      </c>
      <c r="CD71" s="38">
        <f>BV71/$BV$7*100</f>
        <v/>
      </c>
      <c r="CE71" s="38">
        <f>BW71/$BW$7*100</f>
        <v/>
      </c>
      <c r="CF71" s="38">
        <f>BX71/$BX$7*100</f>
        <v/>
      </c>
      <c r="CG71" s="38">
        <f>BY71/$BY$7*100</f>
        <v/>
      </c>
    </row>
    <row r="72" ht="15.5" customHeight="1">
      <c r="A72" s="43" t="n">
        <v>65</v>
      </c>
      <c r="B72" s="43" t="n"/>
      <c r="C72" s="43" t="n"/>
      <c r="D72" s="42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28">
        <f>SUM(E72:P72)+(IF(Q72&lt;&gt;"",Q72,R72))+(IF(S72&lt;&gt;"",S72,T72))+(IF(U72&lt;&gt;"",U72,V72))+(IF(W72&lt;&gt;"",W72,X72))</f>
        <v/>
      </c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31">
        <f>SUM(AA72:AL72)+(IF(AM72&lt;&gt;"",AM72,AN72))+(IF(AO72&lt;&gt;"",AO72,AP72))+(IF(AQ72&lt;&gt;"",AQ72,AR72))+(IF(AS72&lt;&gt;"",AS72,AT72))</f>
        <v/>
      </c>
      <c r="AW72" s="29">
        <f>SUMPRODUCT(($E$5:$P$5="CO1")*(E72:P72))
+SUMPRODUCT(($AA$5:$AL$5="CO1")*(AA72:AL72))
+IF($Q$5="CO1",IF(Q72&lt;&gt;"",Q72,R72),0)
+IF($S$5="CO1",IF(S72&lt;&gt;"",S72,T72),0)
+IF($U$5="CO1",IF(U72&lt;&gt;"",U72,V72),0)
+IF($W$5="CO1",IF(W72&lt;&gt;"",W72,X72),0)
+IF($AM$5="CO1",IF(AM72&lt;&gt;"",AM72,AN72),0)
+IF($AO$5="CO1",IF(AO72&lt;&gt;"",AO72,AP72),0)
+IF($AQ$5="CO1",IF(AQ72&lt;&gt;"",AQ72,AR72),0)
+IF($AS$5="CO1",IF(AS72&lt;&gt;"",AS72,AT72),0)</f>
        <v/>
      </c>
      <c r="AX72" s="29">
        <f>SUMPRODUCT(($E$5:$P$5="CO2")*(E72:P72))
+SUMPRODUCT(($AA$5:$AL$5="CO2")*(AA72:AL72))
+IF($Q$5="CO2",IF(R72&lt;&gt;"",R72,S72),0)
+IF($S$5="CO2",IF(T72&lt;&gt;"",T72,U72),0)
+IF($U$5="CO2",IF(V72&lt;&gt;"",V72,W72),0)
+IF($W$5="CO2",IF(X72&lt;&gt;"",X72,Y72),0)
+IF($AM$5="CO2",IF(AN72&lt;&gt;"",AN72,AO72),0)
+IF($AO$5="CO2",IF(AP72&lt;&gt;"",AP72,AQ72),0)
+IF($AQ$5="CO2",IF(AR72&lt;&gt;"",AR72,AS72),0)
+IF($AS$5="CO2",IF(AT72&lt;&gt;"",AT72,AU72),0)</f>
        <v/>
      </c>
      <c r="AY72" s="29">
        <f>SUMPRODUCT(($E$5:$P$5="CO3")*(E72:P72))
+SUMPRODUCT(($AA$5:$AL$5="CO3")*(AA72:AL72))
+IF($Q$5="CO3",IF(Q72&lt;&gt;"",Q72,R72),0)
+IF($S$5="CO3",IF(S72&lt;&gt;"",S72,T72),0)
+IF($U$5="CO3",IF(U72&lt;&gt;"",U72,V72),0)
+IF($W$5="CO3",IF(W72&lt;&gt;"",W72,X72),0)
+IF($AM$5="CO3",IF(AM72&lt;&gt;"",AM72,AN72),0)
+IF($AO$5="CO3",IF(AO72&lt;&gt;"",AO72,AP72),0)
+IF($AQ$5="CO3",IF(AQ72&lt;&gt;"",AQ72,AR72),0)
+IF($AS$5="CO3",IF(AS72&lt;&gt;"",AS72,AT72),0)</f>
        <v/>
      </c>
      <c r="AZ72" s="29">
        <f>SUMPRODUCT(($E$5:$P$5="CO4")*(E72:P72))
+SUMPRODUCT(($AA$5:$AL$5="CO4")*(AA72:AL72))
+IF($Q$5="CO4",IF(Q72&lt;&gt;"",Q72,R72),0)
+IF($S$5="CO4",IF(S72&lt;&gt;"",S72,T72),0)
+IF($U$5="CO4",IF(U72&lt;&gt;"",U72,V72),0)
+IF($W$5="CO4",IF(W72&lt;&gt;"",W72,X72),0)
+IF($AM$5="CO4",IF(AM72&lt;&gt;"",AM72,AN72),0)
+IF($AO$5="CO4",IF(AO72&lt;&gt;"",AO72,AP72),0)
+IF($AQ$5="CO4",IF(AQ72&lt;&gt;"",AQ72,AR72),0)
+IF($AS$5="CO4",IF(AS72&lt;&gt;"",AS72,AT72),0)</f>
        <v/>
      </c>
      <c r="BA72" s="29">
        <f>SUMPRODUCT(($E$5:$P$5="CO5")*(E72:P72))
+SUMPRODUCT(($AA$5:$AL$5="CO5")*(AA72:AL72))
+IF($Q$5="CO5",IF(Q72&lt;&gt;"",Q72,R72),0)
+IF($S$5="CO5",IF(S72&lt;&gt;"",S72,T72),0)
+IF($U$5="CO5",IF(U72&lt;&gt;"",U72,V72),0)
+IF($W$5="CO5",IF(W72&lt;&gt;"",W72,X72),0)
+IF($AM$5="CO5",IF(AM72&lt;&gt;"",AM72,AN72),0)
+IF($AO$5="CO5",IF(AO72&lt;&gt;"",AO72,AP72),0)
+IF($AQ$5="CO5",IF(AQ72&lt;&gt;"",AQ72,AR72),0)
+IF($AS$5="CO5",IF(AS72&lt;&gt;"",AS72,AT72),0)</f>
        <v/>
      </c>
      <c r="BB72" s="29">
        <f>SUMPRODUCT(($E$5:$P$5="CO6")*(E72:P72))
+SUMPRODUCT(($AA$5:$AL$5="CO6")*(AA72:AL72))
+IF($Q$5="CO6",IF(Q72&lt;&gt;"",Q72,R72),0)
+IF($S$5="CO6",IF(S72&lt;&gt;"",S72,T72),0)
+IF($U$5="CO6",IF(U72&lt;&gt;"",U72,V72),0)
+IF($W$5="CO6",IF(W72&lt;&gt;"",W72,X72),0)
+IF($AM$5="CO6",IF(AM72&lt;&gt;"",AM72,AN72),0)
+IF($AO$5="CO6",IF(AO72&lt;&gt;"",AO72,AP72),0)
+IF($AQ$5="CO6",IF(AQ72&lt;&gt;"",AQ72,AR72),0)
+IF($AS$5="CO6",IF(AS72&lt;&gt;"",AS72,AT72),0)</f>
        <v/>
      </c>
      <c r="BD72" s="30" t="n">
        <v>12</v>
      </c>
      <c r="BE72" s="30" t="n">
        <v>14</v>
      </c>
      <c r="BF72" s="30" t="n">
        <v>14</v>
      </c>
      <c r="BG72" s="5" t="n"/>
      <c r="BH72" s="5" t="n"/>
      <c r="BI72" s="5" t="n"/>
      <c r="BJ72" s="25">
        <f>SUM(BD72:BI72)</f>
        <v/>
      </c>
      <c r="BL72" s="5" t="n">
        <v>8</v>
      </c>
      <c r="BM72" s="5" t="n">
        <v>8</v>
      </c>
      <c r="BN72" s="5" t="n">
        <v>12</v>
      </c>
      <c r="BO72" s="5" t="n">
        <v>12</v>
      </c>
      <c r="BP72" s="5" t="n"/>
      <c r="BQ72" s="5" t="n"/>
      <c r="BR72" s="33">
        <f>SUM(BL72:BQ72)</f>
        <v/>
      </c>
      <c r="BT72" s="36">
        <f>SUMPRODUCT(($AW$5:$BQ$5="CO1")*AW72:BQ72)</f>
        <v/>
      </c>
      <c r="BU72" s="37">
        <f>SUMPRODUCT(($AW$5:$BR$5="CO2")*AW72:BR72)</f>
        <v/>
      </c>
      <c r="BV72" s="37">
        <f>SUMPRODUCT(($AW$5:$BR$5="CO3")*AW72:BR72)</f>
        <v/>
      </c>
      <c r="BW72" s="37">
        <f>SUMPRODUCT(($AW$5:$BR$5="CO4")*AW72:BR72)</f>
        <v/>
      </c>
      <c r="BX72" s="37">
        <f>SUMPRODUCT(($AW$5:$BR$5="CO5")*AW72:BR72)</f>
        <v/>
      </c>
      <c r="BY72" s="37">
        <f>SUMPRODUCT(($AW$5:$BR$5="CO6")*AW72:BR72)</f>
        <v/>
      </c>
      <c r="BZ72" s="33">
        <f>SUM(BT72:BY72)</f>
        <v/>
      </c>
      <c r="CB72" s="38">
        <f>BT72/$BT$7*100</f>
        <v/>
      </c>
      <c r="CC72" s="38">
        <f>BU72/$BU$7*100</f>
        <v/>
      </c>
      <c r="CD72" s="38">
        <f>BV72/$BV$7*100</f>
        <v/>
      </c>
      <c r="CE72" s="38">
        <f>BW72/$BW$7*100</f>
        <v/>
      </c>
      <c r="CF72" s="38">
        <f>BX72/$BX$7*100</f>
        <v/>
      </c>
      <c r="CG72" s="38">
        <f>BY72/$BY$7*100</f>
        <v/>
      </c>
    </row>
    <row r="73" ht="15.5" customHeight="1">
      <c r="A73" s="43" t="n">
        <v>66</v>
      </c>
      <c r="B73" s="43" t="n"/>
      <c r="C73" s="43" t="n"/>
      <c r="D73" s="42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28">
        <f>SUM(E73:P73)+(IF(Q73&lt;&gt;"",Q73,R73))+(IF(S73&lt;&gt;"",S73,T73))+(IF(U73&lt;&gt;"",U73,V73))+(IF(W73&lt;&gt;"",W73,X73))</f>
        <v/>
      </c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31">
        <f>SUM(AA73:AL73)+(IF(AM73&lt;&gt;"",AM73,AN73))+(IF(AO73&lt;&gt;"",AO73,AP73))+(IF(AQ73&lt;&gt;"",AQ73,AR73))+(IF(AS73&lt;&gt;"",AS73,AT73))</f>
        <v/>
      </c>
      <c r="AW73" s="29">
        <f>SUMPRODUCT(($E$5:$P$5="CO1")*(E73:P73))
+SUMPRODUCT(($AA$5:$AL$5="CO1")*(AA73:AL73))
+IF($Q$5="CO1",IF(Q73&lt;&gt;"",Q73,R73),0)
+IF($S$5="CO1",IF(S73&lt;&gt;"",S73,T73),0)
+IF($U$5="CO1",IF(U73&lt;&gt;"",U73,V73),0)
+IF($W$5="CO1",IF(W73&lt;&gt;"",W73,X73),0)
+IF($AM$5="CO1",IF(AM73&lt;&gt;"",AM73,AN73),0)
+IF($AO$5="CO1",IF(AO73&lt;&gt;"",AO73,AP73),0)
+IF($AQ$5="CO1",IF(AQ73&lt;&gt;"",AQ73,AR73),0)
+IF($AS$5="CO1",IF(AS73&lt;&gt;"",AS73,AT73),0)</f>
        <v/>
      </c>
      <c r="AX73" s="29">
        <f>SUMPRODUCT(($E$5:$P$5="CO2")*(E73:P73))
+SUMPRODUCT(($AA$5:$AL$5="CO2")*(AA73:AL73))
+IF($Q$5="CO2",IF(R73&lt;&gt;"",R73,S73),0)
+IF($S$5="CO2",IF(T73&lt;&gt;"",T73,U73),0)
+IF($U$5="CO2",IF(V73&lt;&gt;"",V73,W73),0)
+IF($W$5="CO2",IF(X73&lt;&gt;"",X73,Y73),0)
+IF($AM$5="CO2",IF(AN73&lt;&gt;"",AN73,AO73),0)
+IF($AO$5="CO2",IF(AP73&lt;&gt;"",AP73,AQ73),0)
+IF($AQ$5="CO2",IF(AR73&lt;&gt;"",AR73,AS73),0)
+IF($AS$5="CO2",IF(AT73&lt;&gt;"",AT73,AU73),0)</f>
        <v/>
      </c>
      <c r="AY73" s="29">
        <f>SUMPRODUCT(($E$5:$P$5="CO3")*(E73:P73))
+SUMPRODUCT(($AA$5:$AL$5="CO3")*(AA73:AL73))
+IF($Q$5="CO3",IF(Q73&lt;&gt;"",Q73,R73),0)
+IF($S$5="CO3",IF(S73&lt;&gt;"",S73,T73),0)
+IF($U$5="CO3",IF(U73&lt;&gt;"",U73,V73),0)
+IF($W$5="CO3",IF(W73&lt;&gt;"",W73,X73),0)
+IF($AM$5="CO3",IF(AM73&lt;&gt;"",AM73,AN73),0)
+IF($AO$5="CO3",IF(AO73&lt;&gt;"",AO73,AP73),0)
+IF($AQ$5="CO3",IF(AQ73&lt;&gt;"",AQ73,AR73),0)
+IF($AS$5="CO3",IF(AS73&lt;&gt;"",AS73,AT73),0)</f>
        <v/>
      </c>
      <c r="AZ73" s="29">
        <f>SUMPRODUCT(($E$5:$P$5="CO4")*(E73:P73))
+SUMPRODUCT(($AA$5:$AL$5="CO4")*(AA73:AL73))
+IF($Q$5="CO4",IF(Q73&lt;&gt;"",Q73,R73),0)
+IF($S$5="CO4",IF(S73&lt;&gt;"",S73,T73),0)
+IF($U$5="CO4",IF(U73&lt;&gt;"",U73,V73),0)
+IF($W$5="CO4",IF(W73&lt;&gt;"",W73,X73),0)
+IF($AM$5="CO4",IF(AM73&lt;&gt;"",AM73,AN73),0)
+IF($AO$5="CO4",IF(AO73&lt;&gt;"",AO73,AP73),0)
+IF($AQ$5="CO4",IF(AQ73&lt;&gt;"",AQ73,AR73),0)
+IF($AS$5="CO4",IF(AS73&lt;&gt;"",AS73,AT73),0)</f>
        <v/>
      </c>
      <c r="BA73" s="29">
        <f>SUMPRODUCT(($E$5:$P$5="CO5")*(E73:P73))
+SUMPRODUCT(($AA$5:$AL$5="CO5")*(AA73:AL73))
+IF($Q$5="CO5",IF(Q73&lt;&gt;"",Q73,R73),0)
+IF($S$5="CO5",IF(S73&lt;&gt;"",S73,T73),0)
+IF($U$5="CO5",IF(U73&lt;&gt;"",U73,V73),0)
+IF($W$5="CO5",IF(W73&lt;&gt;"",W73,X73),0)
+IF($AM$5="CO5",IF(AM73&lt;&gt;"",AM73,AN73),0)
+IF($AO$5="CO5",IF(AO73&lt;&gt;"",AO73,AP73),0)
+IF($AQ$5="CO5",IF(AQ73&lt;&gt;"",AQ73,AR73),0)
+IF($AS$5="CO5",IF(AS73&lt;&gt;"",AS73,AT73),0)</f>
        <v/>
      </c>
      <c r="BB73" s="29">
        <f>SUMPRODUCT(($E$5:$P$5="CO6")*(E73:P73))
+SUMPRODUCT(($AA$5:$AL$5="CO6")*(AA73:AL73))
+IF($Q$5="CO6",IF(Q73&lt;&gt;"",Q73,R73),0)
+IF($S$5="CO6",IF(S73&lt;&gt;"",S73,T73),0)
+IF($U$5="CO6",IF(U73&lt;&gt;"",U73,V73),0)
+IF($W$5="CO6",IF(W73&lt;&gt;"",W73,X73),0)
+IF($AM$5="CO6",IF(AM73&lt;&gt;"",AM73,AN73),0)
+IF($AO$5="CO6",IF(AO73&lt;&gt;"",AO73,AP73),0)
+IF($AQ$5="CO6",IF(AQ73&lt;&gt;"",AQ73,AR73),0)
+IF($AS$5="CO6",IF(AS73&lt;&gt;"",AS73,AT73),0)</f>
        <v/>
      </c>
      <c r="BD73" s="30" t="n">
        <v>12</v>
      </c>
      <c r="BE73" s="30" t="n">
        <v>14</v>
      </c>
      <c r="BF73" s="30" t="n">
        <v>14</v>
      </c>
      <c r="BG73" s="5" t="n"/>
      <c r="BH73" s="5" t="n"/>
      <c r="BI73" s="5" t="n"/>
      <c r="BJ73" s="25">
        <f>SUM(BD73:BI73)</f>
        <v/>
      </c>
      <c r="BL73" s="5" t="n">
        <v>8</v>
      </c>
      <c r="BM73" s="5" t="n">
        <v>8</v>
      </c>
      <c r="BN73" s="5" t="n">
        <v>12</v>
      </c>
      <c r="BO73" s="5" t="n">
        <v>12</v>
      </c>
      <c r="BP73" s="5" t="n"/>
      <c r="BQ73" s="5" t="n"/>
      <c r="BR73" s="33">
        <f>SUM(BL73:BQ73)</f>
        <v/>
      </c>
      <c r="BT73" s="36">
        <f>SUMPRODUCT(($AW$5:$BQ$5="CO1")*AW73:BQ73)</f>
        <v/>
      </c>
      <c r="BU73" s="37">
        <f>SUMPRODUCT(($AW$5:$BR$5="CO2")*AW73:BR73)</f>
        <v/>
      </c>
      <c r="BV73" s="37">
        <f>SUMPRODUCT(($AW$5:$BR$5="CO3")*AW73:BR73)</f>
        <v/>
      </c>
      <c r="BW73" s="37">
        <f>SUMPRODUCT(($AW$5:$BR$5="CO4")*AW73:BR73)</f>
        <v/>
      </c>
      <c r="BX73" s="37">
        <f>SUMPRODUCT(($AW$5:$BR$5="CO5")*AW73:BR73)</f>
        <v/>
      </c>
      <c r="BY73" s="37">
        <f>SUMPRODUCT(($AW$5:$BR$5="CO6")*AW73:BR73)</f>
        <v/>
      </c>
      <c r="BZ73" s="33">
        <f>SUM(BT73:BY73)</f>
        <v/>
      </c>
      <c r="CB73" s="38">
        <f>BT73/$BT$7*100</f>
        <v/>
      </c>
      <c r="CC73" s="38">
        <f>BU73/$BU$7*100</f>
        <v/>
      </c>
      <c r="CD73" s="38">
        <f>BV73/$BV$7*100</f>
        <v/>
      </c>
      <c r="CE73" s="38">
        <f>BW73/$BW$7*100</f>
        <v/>
      </c>
      <c r="CF73" s="38">
        <f>BX73/$BX$7*100</f>
        <v/>
      </c>
      <c r="CG73" s="38">
        <f>BY73/$BY$7*100</f>
        <v/>
      </c>
    </row>
    <row r="74" ht="15.5" customHeight="1">
      <c r="A74" s="43" t="n">
        <v>67</v>
      </c>
      <c r="B74" s="43" t="n"/>
      <c r="C74" s="43" t="n"/>
      <c r="D74" s="42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28">
        <f>SUM(E74:P74)+(IF(Q74&lt;&gt;"",Q74,R74))+(IF(S74&lt;&gt;"",S74,T74))+(IF(U74&lt;&gt;"",U74,V74))+(IF(W74&lt;&gt;"",W74,X74))</f>
        <v/>
      </c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31">
        <f>SUM(AA74:AL74)+(IF(AM74&lt;&gt;"",AM74,AN74))+(IF(AO74&lt;&gt;"",AO74,AP74))+(IF(AQ74&lt;&gt;"",AQ74,AR74))+(IF(AS74&lt;&gt;"",AS74,AT74))</f>
        <v/>
      </c>
      <c r="AW74" s="29">
        <f>SUMPRODUCT(($E$5:$P$5="CO1")*(E74:P74))
+SUMPRODUCT(($AA$5:$AL$5="CO1")*(AA74:AL74))
+IF($Q$5="CO1",IF(Q74&lt;&gt;"",Q74,R74),0)
+IF($S$5="CO1",IF(S74&lt;&gt;"",S74,T74),0)
+IF($U$5="CO1",IF(U74&lt;&gt;"",U74,V74),0)
+IF($W$5="CO1",IF(W74&lt;&gt;"",W74,X74),0)
+IF($AM$5="CO1",IF(AM74&lt;&gt;"",AM74,AN74),0)
+IF($AO$5="CO1",IF(AO74&lt;&gt;"",AO74,AP74),0)
+IF($AQ$5="CO1",IF(AQ74&lt;&gt;"",AQ74,AR74),0)
+IF($AS$5="CO1",IF(AS74&lt;&gt;"",AS74,AT74),0)</f>
        <v/>
      </c>
      <c r="AX74" s="29">
        <f>SUMPRODUCT(($E$5:$P$5="CO2")*(E74:P74))
+SUMPRODUCT(($AA$5:$AL$5="CO2")*(AA74:AL74))
+IF($Q$5="CO2",IF(R74&lt;&gt;"",R74,S74),0)
+IF($S$5="CO2",IF(T74&lt;&gt;"",T74,U74),0)
+IF($U$5="CO2",IF(V74&lt;&gt;"",V74,W74),0)
+IF($W$5="CO2",IF(X74&lt;&gt;"",X74,Y74),0)
+IF($AM$5="CO2",IF(AN74&lt;&gt;"",AN74,AO74),0)
+IF($AO$5="CO2",IF(AP74&lt;&gt;"",AP74,AQ74),0)
+IF($AQ$5="CO2",IF(AR74&lt;&gt;"",AR74,AS74),0)
+IF($AS$5="CO2",IF(AT74&lt;&gt;"",AT74,AU74),0)</f>
        <v/>
      </c>
      <c r="AY74" s="29">
        <f>SUMPRODUCT(($E$5:$P$5="CO3")*(E74:P74))
+SUMPRODUCT(($AA$5:$AL$5="CO3")*(AA74:AL74))
+IF($Q$5="CO3",IF(Q74&lt;&gt;"",Q74,R74),0)
+IF($S$5="CO3",IF(S74&lt;&gt;"",S74,T74),0)
+IF($U$5="CO3",IF(U74&lt;&gt;"",U74,V74),0)
+IF($W$5="CO3",IF(W74&lt;&gt;"",W74,X74),0)
+IF($AM$5="CO3",IF(AM74&lt;&gt;"",AM74,AN74),0)
+IF($AO$5="CO3",IF(AO74&lt;&gt;"",AO74,AP74),0)
+IF($AQ$5="CO3",IF(AQ74&lt;&gt;"",AQ74,AR74),0)
+IF($AS$5="CO3",IF(AS74&lt;&gt;"",AS74,AT74),0)</f>
        <v/>
      </c>
      <c r="AZ74" s="29">
        <f>SUMPRODUCT(($E$5:$P$5="CO4")*(E74:P74))
+SUMPRODUCT(($AA$5:$AL$5="CO4")*(AA74:AL74))
+IF($Q$5="CO4",IF(Q74&lt;&gt;"",Q74,R74),0)
+IF($S$5="CO4",IF(S74&lt;&gt;"",S74,T74),0)
+IF($U$5="CO4",IF(U74&lt;&gt;"",U74,V74),0)
+IF($W$5="CO4",IF(W74&lt;&gt;"",W74,X74),0)
+IF($AM$5="CO4",IF(AM74&lt;&gt;"",AM74,AN74),0)
+IF($AO$5="CO4",IF(AO74&lt;&gt;"",AO74,AP74),0)
+IF($AQ$5="CO4",IF(AQ74&lt;&gt;"",AQ74,AR74),0)
+IF($AS$5="CO4",IF(AS74&lt;&gt;"",AS74,AT74),0)</f>
        <v/>
      </c>
      <c r="BA74" s="29">
        <f>SUMPRODUCT(($E$5:$P$5="CO5")*(E74:P74))
+SUMPRODUCT(($AA$5:$AL$5="CO5")*(AA74:AL74))
+IF($Q$5="CO5",IF(Q74&lt;&gt;"",Q74,R74),0)
+IF($S$5="CO5",IF(S74&lt;&gt;"",S74,T74),0)
+IF($U$5="CO5",IF(U74&lt;&gt;"",U74,V74),0)
+IF($W$5="CO5",IF(W74&lt;&gt;"",W74,X74),0)
+IF($AM$5="CO5",IF(AM74&lt;&gt;"",AM74,AN74),0)
+IF($AO$5="CO5",IF(AO74&lt;&gt;"",AO74,AP74),0)
+IF($AQ$5="CO5",IF(AQ74&lt;&gt;"",AQ74,AR74),0)
+IF($AS$5="CO5",IF(AS74&lt;&gt;"",AS74,AT74),0)</f>
        <v/>
      </c>
      <c r="BB74" s="29">
        <f>SUMPRODUCT(($E$5:$P$5="CO6")*(E74:P74))
+SUMPRODUCT(($AA$5:$AL$5="CO6")*(AA74:AL74))
+IF($Q$5="CO6",IF(Q74&lt;&gt;"",Q74,R74),0)
+IF($S$5="CO6",IF(S74&lt;&gt;"",S74,T74),0)
+IF($U$5="CO6",IF(U74&lt;&gt;"",U74,V74),0)
+IF($W$5="CO6",IF(W74&lt;&gt;"",W74,X74),0)
+IF($AM$5="CO6",IF(AM74&lt;&gt;"",AM74,AN74),0)
+IF($AO$5="CO6",IF(AO74&lt;&gt;"",AO74,AP74),0)
+IF($AQ$5="CO6",IF(AQ74&lt;&gt;"",AQ74,AR74),0)
+IF($AS$5="CO6",IF(AS74&lt;&gt;"",AS74,AT74),0)</f>
        <v/>
      </c>
      <c r="BD74" s="30" t="n">
        <v>12</v>
      </c>
      <c r="BE74" s="30" t="n">
        <v>14</v>
      </c>
      <c r="BF74" s="30" t="n">
        <v>14</v>
      </c>
      <c r="BG74" s="5" t="n"/>
      <c r="BH74" s="5" t="n"/>
      <c r="BI74" s="5" t="n"/>
      <c r="BJ74" s="25">
        <f>SUM(BD74:BI74)</f>
        <v/>
      </c>
      <c r="BL74" s="5" t="n">
        <v>8</v>
      </c>
      <c r="BM74" s="5" t="n">
        <v>8</v>
      </c>
      <c r="BN74" s="5" t="n">
        <v>12</v>
      </c>
      <c r="BO74" s="5" t="n">
        <v>12</v>
      </c>
      <c r="BP74" s="5" t="n"/>
      <c r="BQ74" s="5" t="n"/>
      <c r="BR74" s="33">
        <f>SUM(BL74:BQ74)</f>
        <v/>
      </c>
      <c r="BT74" s="36">
        <f>SUMPRODUCT(($AW$5:$BQ$5="CO1")*AW74:BQ74)</f>
        <v/>
      </c>
      <c r="BU74" s="37">
        <f>SUMPRODUCT(($AW$5:$BR$5="CO2")*AW74:BR74)</f>
        <v/>
      </c>
      <c r="BV74" s="37">
        <f>SUMPRODUCT(($AW$5:$BR$5="CO3")*AW74:BR74)</f>
        <v/>
      </c>
      <c r="BW74" s="37">
        <f>SUMPRODUCT(($AW$5:$BR$5="CO4")*AW74:BR74)</f>
        <v/>
      </c>
      <c r="BX74" s="37">
        <f>SUMPRODUCT(($AW$5:$BR$5="CO5")*AW74:BR74)</f>
        <v/>
      </c>
      <c r="BY74" s="37">
        <f>SUMPRODUCT(($AW$5:$BR$5="CO6")*AW74:BR74)</f>
        <v/>
      </c>
      <c r="BZ74" s="33">
        <f>SUM(BT74:BY74)</f>
        <v/>
      </c>
      <c r="CB74" s="38">
        <f>BT74/$BT$7*100</f>
        <v/>
      </c>
      <c r="CC74" s="38">
        <f>BU74/$BU$7*100</f>
        <v/>
      </c>
      <c r="CD74" s="38">
        <f>BV74/$BV$7*100</f>
        <v/>
      </c>
      <c r="CE74" s="38">
        <f>BW74/$BW$7*100</f>
        <v/>
      </c>
      <c r="CF74" s="38">
        <f>BX74/$BX$7*100</f>
        <v/>
      </c>
      <c r="CG74" s="38">
        <f>BY74/$BY$7*100</f>
        <v/>
      </c>
    </row>
    <row r="75" ht="15.5" customHeight="1">
      <c r="A75" s="43" t="n">
        <v>68</v>
      </c>
      <c r="B75" s="43" t="n"/>
      <c r="C75" s="43" t="n"/>
      <c r="D75" s="42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28">
        <f>SUM(E75:P75)+(IF(Q75&lt;&gt;"",Q75,R75))+(IF(S75&lt;&gt;"",S75,T75))+(IF(U75&lt;&gt;"",U75,V75))+(IF(W75&lt;&gt;"",W75,X75))</f>
        <v/>
      </c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31">
        <f>SUM(AA75:AL75)+(IF(AM75&lt;&gt;"",AM75,AN75))+(IF(AO75&lt;&gt;"",AO75,AP75))+(IF(AQ75&lt;&gt;"",AQ75,AR75))+(IF(AS75&lt;&gt;"",AS75,AT75))</f>
        <v/>
      </c>
      <c r="AW75" s="29">
        <f>SUMPRODUCT(($E$5:$P$5="CO1")*(E75:P75))
+SUMPRODUCT(($AA$5:$AL$5="CO1")*(AA75:AL75))
+IF($Q$5="CO1",IF(Q75&lt;&gt;"",Q75,R75),0)
+IF($S$5="CO1",IF(S75&lt;&gt;"",S75,T75),0)
+IF($U$5="CO1",IF(U75&lt;&gt;"",U75,V75),0)
+IF($W$5="CO1",IF(W75&lt;&gt;"",W75,X75),0)
+IF($AM$5="CO1",IF(AM75&lt;&gt;"",AM75,AN75),0)
+IF($AO$5="CO1",IF(AO75&lt;&gt;"",AO75,AP75),0)
+IF($AQ$5="CO1",IF(AQ75&lt;&gt;"",AQ75,AR75),0)
+IF($AS$5="CO1",IF(AS75&lt;&gt;"",AS75,AT75),0)</f>
        <v/>
      </c>
      <c r="AX75" s="29">
        <f>SUMPRODUCT(($E$5:$P$5="CO2")*(E75:P75))
+SUMPRODUCT(($AA$5:$AL$5="CO2")*(AA75:AL75))
+IF($Q$5="CO2",IF(R75&lt;&gt;"",R75,S75),0)
+IF($S$5="CO2",IF(T75&lt;&gt;"",T75,U75),0)
+IF($U$5="CO2",IF(V75&lt;&gt;"",V75,W75),0)
+IF($W$5="CO2",IF(X75&lt;&gt;"",X75,Y75),0)
+IF($AM$5="CO2",IF(AN75&lt;&gt;"",AN75,AO75),0)
+IF($AO$5="CO2",IF(AP75&lt;&gt;"",AP75,AQ75),0)
+IF($AQ$5="CO2",IF(AR75&lt;&gt;"",AR75,AS75),0)
+IF($AS$5="CO2",IF(AT75&lt;&gt;"",AT75,AU75),0)</f>
        <v/>
      </c>
      <c r="AY75" s="29">
        <f>SUMPRODUCT(($E$5:$P$5="CO3")*(E75:P75))
+SUMPRODUCT(($AA$5:$AL$5="CO3")*(AA75:AL75))
+IF($Q$5="CO3",IF(Q75&lt;&gt;"",Q75,R75),0)
+IF($S$5="CO3",IF(S75&lt;&gt;"",S75,T75),0)
+IF($U$5="CO3",IF(U75&lt;&gt;"",U75,V75),0)
+IF($W$5="CO3",IF(W75&lt;&gt;"",W75,X75),0)
+IF($AM$5="CO3",IF(AM75&lt;&gt;"",AM75,AN75),0)
+IF($AO$5="CO3",IF(AO75&lt;&gt;"",AO75,AP75),0)
+IF($AQ$5="CO3",IF(AQ75&lt;&gt;"",AQ75,AR75),0)
+IF($AS$5="CO3",IF(AS75&lt;&gt;"",AS75,AT75),0)</f>
        <v/>
      </c>
      <c r="AZ75" s="29">
        <f>SUMPRODUCT(($E$5:$P$5="CO4")*(E75:P75))
+SUMPRODUCT(($AA$5:$AL$5="CO4")*(AA75:AL75))
+IF($Q$5="CO4",IF(Q75&lt;&gt;"",Q75,R75),0)
+IF($S$5="CO4",IF(S75&lt;&gt;"",S75,T75),0)
+IF($U$5="CO4",IF(U75&lt;&gt;"",U75,V75),0)
+IF($W$5="CO4",IF(W75&lt;&gt;"",W75,X75),0)
+IF($AM$5="CO4",IF(AM75&lt;&gt;"",AM75,AN75),0)
+IF($AO$5="CO4",IF(AO75&lt;&gt;"",AO75,AP75),0)
+IF($AQ$5="CO4",IF(AQ75&lt;&gt;"",AQ75,AR75),0)
+IF($AS$5="CO4",IF(AS75&lt;&gt;"",AS75,AT75),0)</f>
        <v/>
      </c>
      <c r="BA75" s="29">
        <f>SUMPRODUCT(($E$5:$P$5="CO5")*(E75:P75))
+SUMPRODUCT(($AA$5:$AL$5="CO5")*(AA75:AL75))
+IF($Q$5="CO5",IF(Q75&lt;&gt;"",Q75,R75),0)
+IF($S$5="CO5",IF(S75&lt;&gt;"",S75,T75),0)
+IF($U$5="CO5",IF(U75&lt;&gt;"",U75,V75),0)
+IF($W$5="CO5",IF(W75&lt;&gt;"",W75,X75),0)
+IF($AM$5="CO5",IF(AM75&lt;&gt;"",AM75,AN75),0)
+IF($AO$5="CO5",IF(AO75&lt;&gt;"",AO75,AP75),0)
+IF($AQ$5="CO5",IF(AQ75&lt;&gt;"",AQ75,AR75),0)
+IF($AS$5="CO5",IF(AS75&lt;&gt;"",AS75,AT75),0)</f>
        <v/>
      </c>
      <c r="BB75" s="29">
        <f>SUMPRODUCT(($E$5:$P$5="CO6")*(E75:P75))
+SUMPRODUCT(($AA$5:$AL$5="CO6")*(AA75:AL75))
+IF($Q$5="CO6",IF(Q75&lt;&gt;"",Q75,R75),0)
+IF($S$5="CO6",IF(S75&lt;&gt;"",S75,T75),0)
+IF($U$5="CO6",IF(U75&lt;&gt;"",U75,V75),0)
+IF($W$5="CO6",IF(W75&lt;&gt;"",W75,X75),0)
+IF($AM$5="CO6",IF(AM75&lt;&gt;"",AM75,AN75),0)
+IF($AO$5="CO6",IF(AO75&lt;&gt;"",AO75,AP75),0)
+IF($AQ$5="CO6",IF(AQ75&lt;&gt;"",AQ75,AR75),0)
+IF($AS$5="CO6",IF(AS75&lt;&gt;"",AS75,AT75),0)</f>
        <v/>
      </c>
      <c r="BD75" s="30" t="n">
        <v>12</v>
      </c>
      <c r="BE75" s="30" t="n">
        <v>14</v>
      </c>
      <c r="BF75" s="30" t="n">
        <v>14</v>
      </c>
      <c r="BG75" s="5" t="n"/>
      <c r="BH75" s="5" t="n"/>
      <c r="BI75" s="5" t="n"/>
      <c r="BJ75" s="25">
        <f>SUM(BD75:BI75)</f>
        <v/>
      </c>
      <c r="BL75" s="5" t="n">
        <v>8</v>
      </c>
      <c r="BM75" s="5" t="n">
        <v>8</v>
      </c>
      <c r="BN75" s="5" t="n">
        <v>12</v>
      </c>
      <c r="BO75" s="5" t="n">
        <v>12</v>
      </c>
      <c r="BP75" s="5" t="n"/>
      <c r="BQ75" s="5" t="n"/>
      <c r="BR75" s="33">
        <f>SUM(BL75:BQ75)</f>
        <v/>
      </c>
      <c r="BT75" s="36">
        <f>SUMPRODUCT(($AW$5:$BQ$5="CO1")*AW75:BQ75)</f>
        <v/>
      </c>
      <c r="BU75" s="37">
        <f>SUMPRODUCT(($AW$5:$BR$5="CO2")*AW75:BR75)</f>
        <v/>
      </c>
      <c r="BV75" s="37">
        <f>SUMPRODUCT(($AW$5:$BR$5="CO3")*AW75:BR75)</f>
        <v/>
      </c>
      <c r="BW75" s="37">
        <f>SUMPRODUCT(($AW$5:$BR$5="CO4")*AW75:BR75)</f>
        <v/>
      </c>
      <c r="BX75" s="37">
        <f>SUMPRODUCT(($AW$5:$BR$5="CO5")*AW75:BR75)</f>
        <v/>
      </c>
      <c r="BY75" s="37">
        <f>SUMPRODUCT(($AW$5:$BR$5="CO6")*AW75:BR75)</f>
        <v/>
      </c>
      <c r="BZ75" s="33">
        <f>SUM(BT75:BY75)</f>
        <v/>
      </c>
      <c r="CB75" s="38">
        <f>BT75/$BT$7*100</f>
        <v/>
      </c>
      <c r="CC75" s="38">
        <f>BU75/$BU$7*100</f>
        <v/>
      </c>
      <c r="CD75" s="38">
        <f>BV75/$BV$7*100</f>
        <v/>
      </c>
      <c r="CE75" s="38">
        <f>BW75/$BW$7*100</f>
        <v/>
      </c>
      <c r="CF75" s="38">
        <f>BX75/$BX$7*100</f>
        <v/>
      </c>
      <c r="CG75" s="38">
        <f>BY75/$BY$7*100</f>
        <v/>
      </c>
    </row>
    <row r="76" ht="15.5" customHeight="1">
      <c r="A76" s="43" t="n">
        <v>69</v>
      </c>
      <c r="B76" s="43" t="n"/>
      <c r="C76" s="43" t="n"/>
      <c r="D76" s="42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28">
        <f>SUM(E76:P76)+(IF(Q76&lt;&gt;"",Q76,R76))+(IF(S76&lt;&gt;"",S76,T76))+(IF(U76&lt;&gt;"",U76,V76))+(IF(W76&lt;&gt;"",W76,X76))</f>
        <v/>
      </c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31">
        <f>SUM(AA76:AL76)+(IF(AM76&lt;&gt;"",AM76,AN76))+(IF(AO76&lt;&gt;"",AO76,AP76))+(IF(AQ76&lt;&gt;"",AQ76,AR76))+(IF(AS76&lt;&gt;"",AS76,AT76))</f>
        <v/>
      </c>
      <c r="AW76" s="29">
        <f>SUMPRODUCT(($E$5:$P$5="CO1")*(E76:P76))
+SUMPRODUCT(($AA$5:$AL$5="CO1")*(AA76:AL76))
+IF($Q$5="CO1",IF(Q76&lt;&gt;"",Q76,R76),0)
+IF($S$5="CO1",IF(S76&lt;&gt;"",S76,T76),0)
+IF($U$5="CO1",IF(U76&lt;&gt;"",U76,V76),0)
+IF($W$5="CO1",IF(W76&lt;&gt;"",W76,X76),0)
+IF($AM$5="CO1",IF(AM76&lt;&gt;"",AM76,AN76),0)
+IF($AO$5="CO1",IF(AO76&lt;&gt;"",AO76,AP76),0)
+IF($AQ$5="CO1",IF(AQ76&lt;&gt;"",AQ76,AR76),0)
+IF($AS$5="CO1",IF(AS76&lt;&gt;"",AS76,AT76),0)</f>
        <v/>
      </c>
      <c r="AX76" s="29">
        <f>SUMPRODUCT(($E$5:$P$5="CO2")*(E76:P76))
+SUMPRODUCT(($AA$5:$AL$5="CO2")*(AA76:AL76))
+IF($Q$5="CO2",IF(R76&lt;&gt;"",R76,S76),0)
+IF($S$5="CO2",IF(T76&lt;&gt;"",T76,U76),0)
+IF($U$5="CO2",IF(V76&lt;&gt;"",V76,W76),0)
+IF($W$5="CO2",IF(X76&lt;&gt;"",X76,Y76),0)
+IF($AM$5="CO2",IF(AN76&lt;&gt;"",AN76,AO76),0)
+IF($AO$5="CO2",IF(AP76&lt;&gt;"",AP76,AQ76),0)
+IF($AQ$5="CO2",IF(AR76&lt;&gt;"",AR76,AS76),0)
+IF($AS$5="CO2",IF(AT76&lt;&gt;"",AT76,AU76),0)</f>
        <v/>
      </c>
      <c r="AY76" s="29">
        <f>SUMPRODUCT(($E$5:$P$5="CO3")*(E76:P76))
+SUMPRODUCT(($AA$5:$AL$5="CO3")*(AA76:AL76))
+IF($Q$5="CO3",IF(Q76&lt;&gt;"",Q76,R76),0)
+IF($S$5="CO3",IF(S76&lt;&gt;"",S76,T76),0)
+IF($U$5="CO3",IF(U76&lt;&gt;"",U76,V76),0)
+IF($W$5="CO3",IF(W76&lt;&gt;"",W76,X76),0)
+IF($AM$5="CO3",IF(AM76&lt;&gt;"",AM76,AN76),0)
+IF($AO$5="CO3",IF(AO76&lt;&gt;"",AO76,AP76),0)
+IF($AQ$5="CO3",IF(AQ76&lt;&gt;"",AQ76,AR76),0)
+IF($AS$5="CO3",IF(AS76&lt;&gt;"",AS76,AT76),0)</f>
        <v/>
      </c>
      <c r="AZ76" s="29">
        <f>SUMPRODUCT(($E$5:$P$5="CO4")*(E76:P76))
+SUMPRODUCT(($AA$5:$AL$5="CO4")*(AA76:AL76))
+IF($Q$5="CO4",IF(Q76&lt;&gt;"",Q76,R76),0)
+IF($S$5="CO4",IF(S76&lt;&gt;"",S76,T76),0)
+IF($U$5="CO4",IF(U76&lt;&gt;"",U76,V76),0)
+IF($W$5="CO4",IF(W76&lt;&gt;"",W76,X76),0)
+IF($AM$5="CO4",IF(AM76&lt;&gt;"",AM76,AN76),0)
+IF($AO$5="CO4",IF(AO76&lt;&gt;"",AO76,AP76),0)
+IF($AQ$5="CO4",IF(AQ76&lt;&gt;"",AQ76,AR76),0)
+IF($AS$5="CO4",IF(AS76&lt;&gt;"",AS76,AT76),0)</f>
        <v/>
      </c>
      <c r="BA76" s="29">
        <f>SUMPRODUCT(($E$5:$P$5="CO5")*(E76:P76))
+SUMPRODUCT(($AA$5:$AL$5="CO5")*(AA76:AL76))
+IF($Q$5="CO5",IF(Q76&lt;&gt;"",Q76,R76),0)
+IF($S$5="CO5",IF(S76&lt;&gt;"",S76,T76),0)
+IF($U$5="CO5",IF(U76&lt;&gt;"",U76,V76),0)
+IF($W$5="CO5",IF(W76&lt;&gt;"",W76,X76),0)
+IF($AM$5="CO5",IF(AM76&lt;&gt;"",AM76,AN76),0)
+IF($AO$5="CO5",IF(AO76&lt;&gt;"",AO76,AP76),0)
+IF($AQ$5="CO5",IF(AQ76&lt;&gt;"",AQ76,AR76),0)
+IF($AS$5="CO5",IF(AS76&lt;&gt;"",AS76,AT76),0)</f>
        <v/>
      </c>
      <c r="BB76" s="29">
        <f>SUMPRODUCT(($E$5:$P$5="CO6")*(E76:P76))
+SUMPRODUCT(($AA$5:$AL$5="CO6")*(AA76:AL76))
+IF($Q$5="CO6",IF(Q76&lt;&gt;"",Q76,R76),0)
+IF($S$5="CO6",IF(S76&lt;&gt;"",S76,T76),0)
+IF($U$5="CO6",IF(U76&lt;&gt;"",U76,V76),0)
+IF($W$5="CO6",IF(W76&lt;&gt;"",W76,X76),0)
+IF($AM$5="CO6",IF(AM76&lt;&gt;"",AM76,AN76),0)
+IF($AO$5="CO6",IF(AO76&lt;&gt;"",AO76,AP76),0)
+IF($AQ$5="CO6",IF(AQ76&lt;&gt;"",AQ76,AR76),0)
+IF($AS$5="CO6",IF(AS76&lt;&gt;"",AS76,AT76),0)</f>
        <v/>
      </c>
      <c r="BD76" s="30" t="n">
        <v>12</v>
      </c>
      <c r="BE76" s="30" t="n">
        <v>14</v>
      </c>
      <c r="BF76" s="30" t="n">
        <v>14</v>
      </c>
      <c r="BG76" s="5" t="n"/>
      <c r="BH76" s="5" t="n"/>
      <c r="BI76" s="5" t="n"/>
      <c r="BJ76" s="25">
        <f>SUM(BD76:BI76)</f>
        <v/>
      </c>
      <c r="BL76" s="5" t="n">
        <v>8</v>
      </c>
      <c r="BM76" s="5" t="n">
        <v>8</v>
      </c>
      <c r="BN76" s="5" t="n">
        <v>12</v>
      </c>
      <c r="BO76" s="5" t="n">
        <v>12</v>
      </c>
      <c r="BP76" s="5" t="n"/>
      <c r="BQ76" s="5" t="n"/>
      <c r="BR76" s="33">
        <f>SUM(BL76:BQ76)</f>
        <v/>
      </c>
      <c r="BT76" s="36">
        <f>SUMPRODUCT(($AW$5:$BQ$5="CO1")*AW76:BQ76)</f>
        <v/>
      </c>
      <c r="BU76" s="37">
        <f>SUMPRODUCT(($AW$5:$BR$5="CO2")*AW76:BR76)</f>
        <v/>
      </c>
      <c r="BV76" s="37">
        <f>SUMPRODUCT(($AW$5:$BR$5="CO3")*AW76:BR76)</f>
        <v/>
      </c>
      <c r="BW76" s="37">
        <f>SUMPRODUCT(($AW$5:$BR$5="CO4")*AW76:BR76)</f>
        <v/>
      </c>
      <c r="BX76" s="37">
        <f>SUMPRODUCT(($AW$5:$BR$5="CO5")*AW76:BR76)</f>
        <v/>
      </c>
      <c r="BY76" s="37">
        <f>SUMPRODUCT(($AW$5:$BR$5="CO6")*AW76:BR76)</f>
        <v/>
      </c>
      <c r="BZ76" s="33">
        <f>SUM(BT76:BY76)</f>
        <v/>
      </c>
      <c r="CB76" s="38">
        <f>BT76/$BT$7*100</f>
        <v/>
      </c>
      <c r="CC76" s="38">
        <f>BU76/$BU$7*100</f>
        <v/>
      </c>
      <c r="CD76" s="38">
        <f>BV76/$BV$7*100</f>
        <v/>
      </c>
      <c r="CE76" s="38">
        <f>BW76/$BW$7*100</f>
        <v/>
      </c>
      <c r="CF76" s="38">
        <f>BX76/$BX$7*100</f>
        <v/>
      </c>
      <c r="CG76" s="38">
        <f>BY76/$BY$7*100</f>
        <v/>
      </c>
    </row>
    <row r="77" ht="15.5" customHeight="1">
      <c r="A77" s="43" t="n">
        <v>70</v>
      </c>
      <c r="B77" s="43" t="n"/>
      <c r="C77" s="43" t="n"/>
      <c r="D77" s="42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28">
        <f>SUM(E77:P77)+(IF(Q77&lt;&gt;"",Q77,R77))+(IF(S77&lt;&gt;"",S77,T77))+(IF(U77&lt;&gt;"",U77,V77))+(IF(W77&lt;&gt;"",W77,X77))</f>
        <v/>
      </c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31">
        <f>SUM(AA77:AL77)+(IF(AM77&lt;&gt;"",AM77,AN77))+(IF(AO77&lt;&gt;"",AO77,AP77))+(IF(AQ77&lt;&gt;"",AQ77,AR77))+(IF(AS77&lt;&gt;"",AS77,AT77))</f>
        <v/>
      </c>
      <c r="AW77" s="29">
        <f>SUMPRODUCT(($E$5:$P$5="CO1")*(E77:P77))
+SUMPRODUCT(($AA$5:$AL$5="CO1")*(AA77:AL77))
+IF($Q$5="CO1",IF(Q77&lt;&gt;"",Q77,R77),0)
+IF($S$5="CO1",IF(S77&lt;&gt;"",S77,T77),0)
+IF($U$5="CO1",IF(U77&lt;&gt;"",U77,V77),0)
+IF($W$5="CO1",IF(W77&lt;&gt;"",W77,X77),0)
+IF($AM$5="CO1",IF(AM77&lt;&gt;"",AM77,AN77),0)
+IF($AO$5="CO1",IF(AO77&lt;&gt;"",AO77,AP77),0)
+IF($AQ$5="CO1",IF(AQ77&lt;&gt;"",AQ77,AR77),0)
+IF($AS$5="CO1",IF(AS77&lt;&gt;"",AS77,AT77),0)</f>
        <v/>
      </c>
      <c r="AX77" s="29">
        <f>SUMPRODUCT(($E$5:$P$5="CO2")*(E77:P77))
+SUMPRODUCT(($AA$5:$AL$5="CO2")*(AA77:AL77))
+IF($Q$5="CO2",IF(R77&lt;&gt;"",R77,S77),0)
+IF($S$5="CO2",IF(T77&lt;&gt;"",T77,U77),0)
+IF($U$5="CO2",IF(V77&lt;&gt;"",V77,W77),0)
+IF($W$5="CO2",IF(X77&lt;&gt;"",X77,Y77),0)
+IF($AM$5="CO2",IF(AN77&lt;&gt;"",AN77,AO77),0)
+IF($AO$5="CO2",IF(AP77&lt;&gt;"",AP77,AQ77),0)
+IF($AQ$5="CO2",IF(AR77&lt;&gt;"",AR77,AS77),0)
+IF($AS$5="CO2",IF(AT77&lt;&gt;"",AT77,AU77),0)</f>
        <v/>
      </c>
      <c r="AY77" s="29">
        <f>SUMPRODUCT(($E$5:$P$5="CO3")*(E77:P77))
+SUMPRODUCT(($AA$5:$AL$5="CO3")*(AA77:AL77))
+IF($Q$5="CO3",IF(Q77&lt;&gt;"",Q77,R77),0)
+IF($S$5="CO3",IF(S77&lt;&gt;"",S77,T77),0)
+IF($U$5="CO3",IF(U77&lt;&gt;"",U77,V77),0)
+IF($W$5="CO3",IF(W77&lt;&gt;"",W77,X77),0)
+IF($AM$5="CO3",IF(AM77&lt;&gt;"",AM77,AN77),0)
+IF($AO$5="CO3",IF(AO77&lt;&gt;"",AO77,AP77),0)
+IF($AQ$5="CO3",IF(AQ77&lt;&gt;"",AQ77,AR77),0)
+IF($AS$5="CO3",IF(AS77&lt;&gt;"",AS77,AT77),0)</f>
        <v/>
      </c>
      <c r="AZ77" s="29">
        <f>SUMPRODUCT(($E$5:$P$5="CO4")*(E77:P77))
+SUMPRODUCT(($AA$5:$AL$5="CO4")*(AA77:AL77))
+IF($Q$5="CO4",IF(Q77&lt;&gt;"",Q77,R77),0)
+IF($S$5="CO4",IF(S77&lt;&gt;"",S77,T77),0)
+IF($U$5="CO4",IF(U77&lt;&gt;"",U77,V77),0)
+IF($W$5="CO4",IF(W77&lt;&gt;"",W77,X77),0)
+IF($AM$5="CO4",IF(AM77&lt;&gt;"",AM77,AN77),0)
+IF($AO$5="CO4",IF(AO77&lt;&gt;"",AO77,AP77),0)
+IF($AQ$5="CO4",IF(AQ77&lt;&gt;"",AQ77,AR77),0)
+IF($AS$5="CO4",IF(AS77&lt;&gt;"",AS77,AT77),0)</f>
        <v/>
      </c>
      <c r="BA77" s="29">
        <f>SUMPRODUCT(($E$5:$P$5="CO5")*(E77:P77))
+SUMPRODUCT(($AA$5:$AL$5="CO5")*(AA77:AL77))
+IF($Q$5="CO5",IF(Q77&lt;&gt;"",Q77,R77),0)
+IF($S$5="CO5",IF(S77&lt;&gt;"",S77,T77),0)
+IF($U$5="CO5",IF(U77&lt;&gt;"",U77,V77),0)
+IF($W$5="CO5",IF(W77&lt;&gt;"",W77,X77),0)
+IF($AM$5="CO5",IF(AM77&lt;&gt;"",AM77,AN77),0)
+IF($AO$5="CO5",IF(AO77&lt;&gt;"",AO77,AP77),0)
+IF($AQ$5="CO5",IF(AQ77&lt;&gt;"",AQ77,AR77),0)
+IF($AS$5="CO5",IF(AS77&lt;&gt;"",AS77,AT77),0)</f>
        <v/>
      </c>
      <c r="BB77" s="29">
        <f>SUMPRODUCT(($E$5:$P$5="CO6")*(E77:P77))
+SUMPRODUCT(($AA$5:$AL$5="CO6")*(AA77:AL77))
+IF($Q$5="CO6",IF(Q77&lt;&gt;"",Q77,R77),0)
+IF($S$5="CO6",IF(S77&lt;&gt;"",S77,T77),0)
+IF($U$5="CO6",IF(U77&lt;&gt;"",U77,V77),0)
+IF($W$5="CO6",IF(W77&lt;&gt;"",W77,X77),0)
+IF($AM$5="CO6",IF(AM77&lt;&gt;"",AM77,AN77),0)
+IF($AO$5="CO6",IF(AO77&lt;&gt;"",AO77,AP77),0)
+IF($AQ$5="CO6",IF(AQ77&lt;&gt;"",AQ77,AR77),0)
+IF($AS$5="CO6",IF(AS77&lt;&gt;"",AS77,AT77),0)</f>
        <v/>
      </c>
      <c r="BD77" s="30" t="n"/>
      <c r="BE77" s="30" t="n"/>
      <c r="BF77" s="30" t="n"/>
      <c r="BG77" s="5" t="n"/>
      <c r="BH77" s="5" t="n"/>
      <c r="BI77" s="5" t="n"/>
      <c r="BJ77" s="25">
        <f>SUM(BD77:BI77)</f>
        <v/>
      </c>
      <c r="BL77" s="5" t="n"/>
      <c r="BM77" s="5" t="n"/>
      <c r="BN77" s="5" t="n"/>
      <c r="BO77" s="5" t="n"/>
      <c r="BP77" s="5" t="n"/>
      <c r="BQ77" s="5" t="n"/>
      <c r="BR77" s="33">
        <f>SUM(BL77:BQ77)</f>
        <v/>
      </c>
      <c r="BT77" s="36">
        <f>SUMPRODUCT(($AW$5:$BQ$5="CO1")*AW77:BQ77)</f>
        <v/>
      </c>
      <c r="BU77" s="37">
        <f>SUMPRODUCT(($AW$5:$BR$5="CO2")*AW77:BR77)</f>
        <v/>
      </c>
      <c r="BV77" s="37">
        <f>SUMPRODUCT(($AW$5:$BR$5="CO3")*AW77:BR77)</f>
        <v/>
      </c>
      <c r="BW77" s="37">
        <f>SUMPRODUCT(($AW$5:$BR$5="CO4")*AW77:BR77)</f>
        <v/>
      </c>
      <c r="BX77" s="37">
        <f>SUMPRODUCT(($AW$5:$BR$5="CO5")*AW77:BR77)</f>
        <v/>
      </c>
      <c r="BY77" s="37">
        <f>SUMPRODUCT(($AW$5:$BR$5="CO6")*AW77:BR77)</f>
        <v/>
      </c>
      <c r="BZ77" s="33">
        <f>SUM(BT77:BY77)</f>
        <v/>
      </c>
      <c r="CB77" s="38">
        <f>BT77/$BT$7*100</f>
        <v/>
      </c>
      <c r="CC77" s="38">
        <f>BU77/$BU$7*100</f>
        <v/>
      </c>
      <c r="CD77" s="38">
        <f>BV77/$BV$7*100</f>
        <v/>
      </c>
      <c r="CE77" s="38">
        <f>BW77/$BW$7*100</f>
        <v/>
      </c>
      <c r="CF77" s="38">
        <f>BX77/$BX$7*100</f>
        <v/>
      </c>
      <c r="CG77" s="38">
        <f>BY77/$BY$7*100</f>
        <v/>
      </c>
    </row>
    <row r="78" ht="15.5" customHeight="1">
      <c r="A78" s="43" t="n">
        <v>71</v>
      </c>
      <c r="B78" s="43" t="n"/>
      <c r="C78" s="43" t="n"/>
      <c r="D78" s="42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6" t="n"/>
      <c r="S78" s="5" t="n"/>
      <c r="T78" s="6" t="n"/>
      <c r="U78" s="5" t="n"/>
      <c r="V78" s="5" t="n"/>
      <c r="W78" s="5" t="n"/>
      <c r="X78" s="6" t="n"/>
      <c r="Y78" s="28">
        <f>SUM(E78:P78)+(IF(Q78&lt;&gt;"",Q78,R78))+(IF(S78&lt;&gt;"",S78,T78))+(IF(U78&lt;&gt;"",U78,V78))+(IF(W78&lt;&gt;"",W78,X78))</f>
        <v/>
      </c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6" t="n"/>
      <c r="AO78" s="5" t="n"/>
      <c r="AP78" s="6" t="n"/>
      <c r="AQ78" s="5" t="n"/>
      <c r="AR78" s="6" t="n"/>
      <c r="AS78" s="6" t="n"/>
      <c r="AT78" s="6" t="n"/>
      <c r="AU78" s="31">
        <f>SUM(AA78:AL78)+(IF(AM78&lt;&gt;"",AM78,AN78))+(IF(AO78&lt;&gt;"",AO78,AP78))+(IF(AQ78&lt;&gt;"",AQ78,AR78))+(IF(AS78&lt;&gt;"",AS78,AT78))</f>
        <v/>
      </c>
      <c r="AW78" s="29">
        <f>SUMPRODUCT(($E$5:$P$5="CO1")*(E78:P78))
+SUMPRODUCT(($AA$5:$AL$5="CO1")*(AA78:AL78))
+IF($Q$5="CO1",IF(Q78&lt;&gt;"",Q78,R78),0)
+IF($S$5="CO1",IF(S78&lt;&gt;"",S78,T78),0)
+IF($U$5="CO1",IF(U78&lt;&gt;"",U78,V78),0)
+IF($W$5="CO1",IF(W78&lt;&gt;"",W78,X78),0)
+IF($AM$5="CO1",IF(AM78&lt;&gt;"",AM78,AN78),0)
+IF($AO$5="CO1",IF(AO78&lt;&gt;"",AO78,AP78),0)
+IF($AQ$5="CO1",IF(AQ78&lt;&gt;"",AQ78,AR78),0)
+IF($AS$5="CO1",IF(AS78&lt;&gt;"",AS78,AT78),0)</f>
        <v/>
      </c>
      <c r="AX78" s="29">
        <f>SUMPRODUCT(($E$5:$P$5="CO2")*(E78:P78))
+SUMPRODUCT(($AA$5:$AL$5="CO2")*(AA78:AL78))
+IF($Q$5="CO2",IF(R78&lt;&gt;"",R78,S78),0)
+IF($S$5="CO2",IF(T78&lt;&gt;"",T78,U78),0)
+IF($U$5="CO2",IF(V78&lt;&gt;"",V78,W78),0)
+IF($W$5="CO2",IF(X78&lt;&gt;"",X78,Y78),0)
+IF($AM$5="CO2",IF(AN78&lt;&gt;"",AN78,AO78),0)
+IF($AO$5="CO2",IF(AP78&lt;&gt;"",AP78,AQ78),0)
+IF($AQ$5="CO2",IF(AR78&lt;&gt;"",AR78,AS78),0)
+IF($AS$5="CO2",IF(AT78&lt;&gt;"",AT78,AU78),0)</f>
        <v/>
      </c>
      <c r="AY78" s="29">
        <f>SUMPRODUCT(($E$5:$P$5="CO3")*(E78:P78))
+SUMPRODUCT(($AA$5:$AL$5="CO3")*(AA78:AL78))
+IF($Q$5="CO3",IF(Q78&lt;&gt;"",Q78,R78),0)
+IF($S$5="CO3",IF(S78&lt;&gt;"",S78,T78),0)
+IF($U$5="CO3",IF(U78&lt;&gt;"",U78,V78),0)
+IF($W$5="CO3",IF(W78&lt;&gt;"",W78,X78),0)
+IF($AM$5="CO3",IF(AM78&lt;&gt;"",AM78,AN78),0)
+IF($AO$5="CO3",IF(AO78&lt;&gt;"",AO78,AP78),0)
+IF($AQ$5="CO3",IF(AQ78&lt;&gt;"",AQ78,AR78),0)
+IF($AS$5="CO3",IF(AS78&lt;&gt;"",AS78,AT78),0)</f>
        <v/>
      </c>
      <c r="AZ78" s="29">
        <f>SUMPRODUCT(($E$5:$P$5="CO4")*(E78:P78))
+SUMPRODUCT(($AA$5:$AL$5="CO4")*(AA78:AL78))
+IF($Q$5="CO4",IF(Q78&lt;&gt;"",Q78,R78),0)
+IF($S$5="CO4",IF(S78&lt;&gt;"",S78,T78),0)
+IF($U$5="CO4",IF(U78&lt;&gt;"",U78,V78),0)
+IF($W$5="CO4",IF(W78&lt;&gt;"",W78,X78),0)
+IF($AM$5="CO4",IF(AM78&lt;&gt;"",AM78,AN78),0)
+IF($AO$5="CO4",IF(AO78&lt;&gt;"",AO78,AP78),0)
+IF($AQ$5="CO4",IF(AQ78&lt;&gt;"",AQ78,AR78),0)
+IF($AS$5="CO4",IF(AS78&lt;&gt;"",AS78,AT78),0)</f>
        <v/>
      </c>
      <c r="BA78" s="29">
        <f>SUMPRODUCT(($E$5:$P$5="CO5")*(E78:P78))
+SUMPRODUCT(($AA$5:$AL$5="CO5")*(AA78:AL78))
+IF($Q$5="CO5",IF(Q78&lt;&gt;"",Q78,R78),0)
+IF($S$5="CO5",IF(S78&lt;&gt;"",S78,T78),0)
+IF($U$5="CO5",IF(U78&lt;&gt;"",U78,V78),0)
+IF($W$5="CO5",IF(W78&lt;&gt;"",W78,X78),0)
+IF($AM$5="CO5",IF(AM78&lt;&gt;"",AM78,AN78),0)
+IF($AO$5="CO5",IF(AO78&lt;&gt;"",AO78,AP78),0)
+IF($AQ$5="CO5",IF(AQ78&lt;&gt;"",AQ78,AR78),0)
+IF($AS$5="CO5",IF(AS78&lt;&gt;"",AS78,AT78),0)</f>
        <v/>
      </c>
      <c r="BB78" s="29">
        <f>SUMPRODUCT(($E$5:$P$5="CO6")*(E78:P78))
+SUMPRODUCT(($AA$5:$AL$5="CO6")*(AA78:AL78))
+IF($Q$5="CO6",IF(Q78&lt;&gt;"",Q78,R78),0)
+IF($S$5="CO6",IF(S78&lt;&gt;"",S78,T78),0)
+IF($U$5="CO6",IF(U78&lt;&gt;"",U78,V78),0)
+IF($W$5="CO6",IF(W78&lt;&gt;"",W78,X78),0)
+IF($AM$5="CO6",IF(AM78&lt;&gt;"",AM78,AN78),0)
+IF($AO$5="CO6",IF(AO78&lt;&gt;"",AO78,AP78),0)
+IF($AQ$5="CO6",IF(AQ78&lt;&gt;"",AQ78,AR78),0)
+IF($AS$5="CO6",IF(AS78&lt;&gt;"",AS78,AT78),0)</f>
        <v/>
      </c>
      <c r="BD78" s="5" t="n"/>
      <c r="BE78" s="5" t="n"/>
      <c r="BF78" s="5" t="n"/>
      <c r="BG78" s="5" t="n"/>
      <c r="BH78" s="5" t="n"/>
      <c r="BI78" s="5" t="n"/>
      <c r="BJ78" s="25">
        <f>SUM(BD78:BI78)</f>
        <v/>
      </c>
      <c r="BL78" s="5" t="n"/>
      <c r="BM78" s="5" t="n"/>
      <c r="BN78" s="5" t="n"/>
      <c r="BO78" s="5" t="n"/>
      <c r="BP78" s="5" t="n"/>
      <c r="BQ78" s="5" t="n"/>
      <c r="BR78" s="33">
        <f>SUM(BL78:BQ78)</f>
        <v/>
      </c>
      <c r="BT78" s="36">
        <f>SUMPRODUCT(($AW$5:$BQ$5="CO1")*AW78:BQ78)</f>
        <v/>
      </c>
      <c r="BU78" s="33">
        <f>SUMPRODUCT(($E$5:$BJ$5="CO2")*(ISNUMBER(L78:BQ78))*(L78:BQ78&gt;0), L78:BQ78)</f>
        <v/>
      </c>
      <c r="BV78" s="37">
        <f>SUMPRODUCT(($AW$5:$BR$5="CO3")*AW78:BR78)</f>
        <v/>
      </c>
      <c r="BW78" s="37">
        <f>SUMPRODUCT(($AW$5:$BR$5="CO4")*AW78:BR78)</f>
        <v/>
      </c>
      <c r="BX78" s="37">
        <f>SUMPRODUCT(($AW$5:$BR$5="CO5")*AW78:BR78)</f>
        <v/>
      </c>
      <c r="BY78" s="33">
        <f>SUMPRODUCT(($E$5:$BJ$5="CO6")*(ISNUMBER(L78:BQ78))*(L78:BQ78&gt;0), L78:BQ78)</f>
        <v/>
      </c>
      <c r="BZ78" s="33">
        <f>SUM(BT78:BY78)</f>
        <v/>
      </c>
      <c r="CB78" s="38" t="n"/>
      <c r="CC78" s="38" t="n"/>
      <c r="CD78" s="38" t="n"/>
      <c r="CE78" s="38" t="n"/>
      <c r="CF78" s="38" t="n"/>
      <c r="CG78" s="38" t="n"/>
    </row>
    <row r="79" ht="15.5" customHeight="1">
      <c r="A79" s="43" t="n">
        <v>72</v>
      </c>
      <c r="B79" s="43" t="n"/>
      <c r="C79" s="43" t="n"/>
      <c r="D79" s="7" t="n"/>
      <c r="L79" s="7" t="n"/>
      <c r="N79" s="7" t="n"/>
      <c r="O79" s="7" t="n"/>
      <c r="P79" s="7" t="n"/>
      <c r="Y79" s="28">
        <f>SUM(E79:P79)+(IF(Q79&lt;&gt;"",Q79,R79))+(IF(S79&lt;&gt;"",S79,T79))+(IF(U79&lt;&gt;"",U79,V79))+(IF(W79&lt;&gt;"",W79,X79))</f>
        <v/>
      </c>
      <c r="AH79" s="7" t="n"/>
      <c r="AJ79" s="7" t="n"/>
      <c r="AK79" s="7" t="n"/>
      <c r="AL79" s="7" t="n"/>
      <c r="AU79" s="31">
        <f>SUM(AA79:AL79)+(IF(AM79&lt;&gt;"",AM79,AN79))+(IF(AO79&lt;&gt;"",AO79,AP79))+(IF(AQ79&lt;&gt;"",AQ79,AR79))+(IF(AS79&lt;&gt;"",AS79,AT79))</f>
        <v/>
      </c>
      <c r="AW79" s="29">
        <f>SUMPRODUCT(($E$5:$P$5="CO1")*(E79:P79))
+SUMPRODUCT(($AA$5:$AL$5="CO1")*(AA79:AL79))
+IF($Q$5="CO1",IF(Q79&lt;&gt;"",Q79,R79),0)
+IF($S$5="CO1",IF(S79&lt;&gt;"",S79,T79),0)
+IF($U$5="CO1",IF(U79&lt;&gt;"",U79,V79),0)
+IF($W$5="CO1",IF(W79&lt;&gt;"",W79,X79),0)
+IF($AM$5="CO1",IF(AM79&lt;&gt;"",AM79,AN79),0)
+IF($AO$5="CO1",IF(AO79&lt;&gt;"",AO79,AP79),0)
+IF($AQ$5="CO1",IF(AQ79&lt;&gt;"",AQ79,AR79),0)
+IF($AS$5="CO1",IF(AS79&lt;&gt;"",AS79,AT79),0)</f>
        <v/>
      </c>
      <c r="AX79" s="29">
        <f>SUMPRODUCT(($E$5:$P$5="CO2")*(E79:P79))
+SUMPRODUCT(($AA$5:$AL$5="CO2")*(AA79:AL79))
+IF($Q$5="CO2",IF(R79&lt;&gt;"",R79,S79),0)
+IF($S$5="CO2",IF(T79&lt;&gt;"",T79,U79),0)
+IF($U$5="CO2",IF(V79&lt;&gt;"",V79,W79),0)
+IF($W$5="CO2",IF(X79&lt;&gt;"",X79,Y79),0)
+IF($AM$5="CO2",IF(AN79&lt;&gt;"",AN79,AO79),0)
+IF($AO$5="CO2",IF(AP79&lt;&gt;"",AP79,AQ79),0)
+IF($AQ$5="CO2",IF(AR79&lt;&gt;"",AR79,AS79),0)
+IF($AS$5="CO2",IF(AT79&lt;&gt;"",AT79,AU79),0)</f>
        <v/>
      </c>
      <c r="AY79" s="29">
        <f>SUMPRODUCT(($E$5:$P$5="CO3")*(E79:P79))
+SUMPRODUCT(($AA$5:$AL$5="CO3")*(AA79:AL79))
+IF($Q$5="CO3",IF(Q79&lt;&gt;"",Q79,R79),0)
+IF($S$5="CO3",IF(S79&lt;&gt;"",S79,T79),0)
+IF($U$5="CO3",IF(U79&lt;&gt;"",U79,V79),0)
+IF($W$5="CO3",IF(W79&lt;&gt;"",W79,X79),0)
+IF($AM$5="CO3",IF(AM79&lt;&gt;"",AM79,AN79),0)
+IF($AO$5="CO3",IF(AO79&lt;&gt;"",AO79,AP79),0)
+IF($AQ$5="CO3",IF(AQ79&lt;&gt;"",AQ79,AR79),0)
+IF($AS$5="CO3",IF(AS79&lt;&gt;"",AS79,AT79),0)</f>
        <v/>
      </c>
      <c r="AZ79" s="29">
        <f>SUMPRODUCT(($E$5:$P$5="CO4")*(E79:P79))
+SUMPRODUCT(($AA$5:$AL$5="CO4")*(AA79:AL79))
+IF($Q$5="CO4",IF(Q79&lt;&gt;"",Q79,R79),0)
+IF($S$5="CO4",IF(S79&lt;&gt;"",S79,T79),0)
+IF($U$5="CO4",IF(U79&lt;&gt;"",U79,V79),0)
+IF($W$5="CO4",IF(W79&lt;&gt;"",W79,X79),0)
+IF($AM$5="CO4",IF(AM79&lt;&gt;"",AM79,AN79),0)
+IF($AO$5="CO4",IF(AO79&lt;&gt;"",AO79,AP79),0)
+IF($AQ$5="CO4",IF(AQ79&lt;&gt;"",AQ79,AR79),0)
+IF($AS$5="CO4",IF(AS79&lt;&gt;"",AS79,AT79),0)</f>
        <v/>
      </c>
      <c r="BA79" s="29">
        <f>SUMPRODUCT(($E$5:$P$5="CO5")*(E79:P79))
+SUMPRODUCT(($AA$5:$AL$5="CO5")*(AA79:AL79))
+IF($Q$5="CO5",IF(Q79&lt;&gt;"",Q79,R79),0)
+IF($S$5="CO5",IF(S79&lt;&gt;"",S79,T79),0)
+IF($U$5="CO5",IF(U79&lt;&gt;"",U79,V79),0)
+IF($W$5="CO5",IF(W79&lt;&gt;"",W79,X79),0)
+IF($AM$5="CO5",IF(AM79&lt;&gt;"",AM79,AN79),0)
+IF($AO$5="CO5",IF(AO79&lt;&gt;"",AO79,AP79),0)
+IF($AQ$5="CO5",IF(AQ79&lt;&gt;"",AQ79,AR79),0)
+IF($AS$5="CO5",IF(AS79&lt;&gt;"",AS79,AT79),0)</f>
        <v/>
      </c>
      <c r="BB79" s="29">
        <f>SUMPRODUCT(($E$5:$P$5="CO6")*(E79:P79))
+SUMPRODUCT(($AA$5:$AL$5="CO6")*(AA79:AL79))
+IF($Q$5="CO6",IF(Q79&lt;&gt;"",Q79,R79),0)
+IF($S$5="CO6",IF(S79&lt;&gt;"",S79,T79),0)
+IF($U$5="CO6",IF(U79&lt;&gt;"",U79,V79),0)
+IF($W$5="CO6",IF(W79&lt;&gt;"",W79,X79),0)
+IF($AM$5="CO6",IF(AM79&lt;&gt;"",AM79,AN79),0)
+IF($AO$5="CO6",IF(AO79&lt;&gt;"",AO79,AP79),0)
+IF($AQ$5="CO6",IF(AQ79&lt;&gt;"",AQ79,AR79),0)
+IF($AS$5="CO6",IF(AS79&lt;&gt;"",AS79,AT79),0)</f>
        <v/>
      </c>
      <c r="BD79" s="5" t="n"/>
      <c r="BE79" s="5" t="n"/>
      <c r="BF79" s="5" t="n"/>
      <c r="BG79" s="5" t="n"/>
      <c r="BH79" s="5" t="n"/>
      <c r="BI79" s="5" t="n"/>
      <c r="BJ79" s="25">
        <f>SUM(BD79:BI79)</f>
        <v/>
      </c>
      <c r="BL79" s="5" t="n"/>
      <c r="BM79" s="5" t="n"/>
      <c r="BN79" s="5" t="n"/>
      <c r="BO79" s="5" t="n"/>
      <c r="BP79" s="5" t="n"/>
      <c r="BQ79" s="5" t="n"/>
      <c r="BR79" s="33">
        <f>SUM(BL79:BQ79)</f>
        <v/>
      </c>
      <c r="BT79" s="36">
        <f>SUMPRODUCT(($AW$5:$BQ$5="CO1")*AW79:BQ79)</f>
        <v/>
      </c>
      <c r="BU79" s="33">
        <f>SUMPRODUCT(($E$5:$BJ$5="CO2")*(ISNUMBER(L79:BQ79))*(L79:BQ79&gt;0), L79:BQ79)</f>
        <v/>
      </c>
      <c r="BV79" s="37">
        <f>SUMPRODUCT(($AW$5:$BR$5="CO3")*AW79:BR79)</f>
        <v/>
      </c>
      <c r="BW79" s="37">
        <f>SUMPRODUCT(($AW$5:$BR$5="CO4")*AW79:BR79)</f>
        <v/>
      </c>
      <c r="BX79" s="37">
        <f>SUMPRODUCT(($AW$5:$BR$5="CO5")*AW79:BR79)</f>
        <v/>
      </c>
      <c r="BY79" s="33">
        <f>SUMPRODUCT(($E$5:$BJ$5="CO6")*(ISNUMBER(L79:BQ79))*(L79:BQ79&gt;0), L79:BQ79)</f>
        <v/>
      </c>
      <c r="BZ79" s="33">
        <f>SUM(BT79:BY79)</f>
        <v/>
      </c>
      <c r="CB79" s="38" t="n"/>
      <c r="CC79" s="38" t="n"/>
      <c r="CD79" s="38" t="n"/>
      <c r="CE79" s="38" t="n"/>
      <c r="CF79" s="38" t="n"/>
      <c r="CG79" s="38" t="n"/>
    </row>
    <row r="80" ht="15.5" customHeight="1">
      <c r="A80" s="43" t="n">
        <v>73</v>
      </c>
      <c r="B80" s="43" t="n"/>
      <c r="C80" s="43" t="n"/>
      <c r="D80" s="7" t="n"/>
      <c r="L80" s="7" t="n"/>
      <c r="N80" s="7" t="n"/>
      <c r="O80" s="7" t="n"/>
      <c r="P80" s="7" t="n"/>
      <c r="Y80" s="28">
        <f>SUM(E80:P80)+(IF(Q80&lt;&gt;"",Q80,R80))+(IF(S80&lt;&gt;"",S80,T80))+(IF(U80&lt;&gt;"",U80,V80))+(IF(W80&lt;&gt;"",W80,X80))</f>
        <v/>
      </c>
      <c r="AH80" s="7" t="n"/>
      <c r="AJ80" s="7" t="n"/>
      <c r="AK80" s="7" t="n"/>
      <c r="AL80" s="7" t="n"/>
      <c r="AU80" s="31">
        <f>SUM(AA80:AL80)+(IF(AM80&lt;&gt;"",AM80,AN80))+(IF(AO80&lt;&gt;"",AO80,AP80))+(IF(AQ80&lt;&gt;"",AQ80,AR80))+(IF(AS80&lt;&gt;"",AS80,AT80))</f>
        <v/>
      </c>
      <c r="BD80" s="5" t="n"/>
      <c r="BE80" s="5" t="n"/>
      <c r="BF80" s="5" t="n"/>
      <c r="BG80" s="5" t="n"/>
      <c r="BH80" s="5" t="n"/>
      <c r="BI80" s="5" t="n"/>
      <c r="BJ80" s="25">
        <f>SUM(BD80:BI80)</f>
        <v/>
      </c>
      <c r="BL80" s="5" t="n"/>
      <c r="BM80" s="5" t="n"/>
      <c r="BN80" s="5" t="n"/>
      <c r="BO80" s="5" t="n"/>
      <c r="BP80" s="5" t="n"/>
      <c r="BQ80" s="5" t="n"/>
      <c r="BR80" s="33">
        <f>SUM(BL80:BQ80)</f>
        <v/>
      </c>
      <c r="BT80" s="36">
        <f>SUMPRODUCT(($AW$5:$BQ$5="CO1")*AW80:BQ80)</f>
        <v/>
      </c>
      <c r="BU80" s="33">
        <f>SUMPRODUCT(($E$5:$BJ$5="CO2")*(ISNUMBER(L80:BQ80))*(L80:BQ80&gt;0), L80:BQ80)</f>
        <v/>
      </c>
      <c r="BV80" s="37">
        <f>SUMPRODUCT(($AW$5:$BR$5="CO3")*AW80:BR80)</f>
        <v/>
      </c>
      <c r="BW80" s="37">
        <f>SUMPRODUCT(($AW$5:$BR$5="CO4")*AW80:BR80)</f>
        <v/>
      </c>
      <c r="BX80" s="37">
        <f>SUMPRODUCT(($AW$5:$BR$5="CO5")*AW80:BR80)</f>
        <v/>
      </c>
      <c r="BY80" s="33">
        <f>SUMPRODUCT(($E$5:$BJ$5="CO6")*(ISNUMBER(L80:BQ80))*(L80:BQ80&gt;0), L80:BQ80)</f>
        <v/>
      </c>
      <c r="BZ80" s="33">
        <f>SUM(BT80:BY80)</f>
        <v/>
      </c>
      <c r="CB80" s="38" t="n"/>
      <c r="CC80" s="38" t="n"/>
      <c r="CD80" s="38" t="n"/>
      <c r="CE80" s="38" t="n"/>
      <c r="CF80" s="38" t="n"/>
      <c r="CG80" s="38" t="n"/>
    </row>
    <row r="81" ht="15.5" customHeight="1">
      <c r="A81" s="43" t="n">
        <v>74</v>
      </c>
      <c r="B81" s="43" t="n"/>
      <c r="C81" s="43" t="n"/>
      <c r="D81" s="7" t="n"/>
      <c r="L81" s="7" t="n"/>
      <c r="N81" s="7" t="n"/>
      <c r="O81" s="7" t="n"/>
      <c r="P81" s="7" t="n"/>
      <c r="Y81" s="28">
        <f>SUM(E81:P81)+(IF(Q81&lt;&gt;"",Q81,R81))+(IF(S81&lt;&gt;"",S81,T81))+(IF(U81&lt;&gt;"",U81,V81))+(IF(W81&lt;&gt;"",W81,X81))</f>
        <v/>
      </c>
      <c r="AH81" s="7" t="n"/>
      <c r="AJ81" s="7" t="n"/>
      <c r="AK81" s="7" t="n"/>
      <c r="AL81" s="7" t="n"/>
      <c r="AU81" s="31">
        <f>SUM(AA81:AL81)+(IF(AM81&lt;&gt;"",AM81,AN81))+(IF(AO81&lt;&gt;"",AO81,AP81))+(IF(AQ81&lt;&gt;"",AQ81,AR81))+(IF(AS81&lt;&gt;"",AS81,AT81))</f>
        <v/>
      </c>
      <c r="BD81" s="5" t="n"/>
      <c r="BE81" s="5" t="n"/>
      <c r="BF81" s="5" t="n"/>
      <c r="BG81" s="5" t="n"/>
      <c r="BH81" s="5" t="n"/>
      <c r="BI81" s="5" t="n"/>
      <c r="BJ81" s="25">
        <f>SUM(BD81:BI81)</f>
        <v/>
      </c>
      <c r="BL81" s="5" t="n"/>
      <c r="BM81" s="5" t="n"/>
      <c r="BN81" s="5" t="n"/>
      <c r="BO81" s="5" t="n"/>
      <c r="BP81" s="5" t="n"/>
      <c r="BQ81" s="5" t="n"/>
      <c r="BR81" s="33">
        <f>SUM(BL81:BQ81)</f>
        <v/>
      </c>
      <c r="BT81" s="36">
        <f>SUMPRODUCT(($AW$5:$BQ$5="CO1")*AW81:BQ81)</f>
        <v/>
      </c>
      <c r="BU81" s="33">
        <f>SUMPRODUCT(($E$5:$BJ$5="CO2")*(ISNUMBER(L81:BQ81))*(L81:BQ81&gt;0), L81:BQ81)</f>
        <v/>
      </c>
      <c r="BV81" s="37">
        <f>SUMPRODUCT(($AW$5:$BR$5="CO3")*AW81:BR81)</f>
        <v/>
      </c>
      <c r="BW81" s="37">
        <f>SUMPRODUCT(($AW$5:$BR$5="CO4")*AW81:BR81)</f>
        <v/>
      </c>
      <c r="BX81" s="37">
        <f>SUMPRODUCT(($AW$5:$BR$5="CO5")*AW81:BR81)</f>
        <v/>
      </c>
      <c r="BY81" s="33">
        <f>SUMPRODUCT(($E$5:$BJ$5="CO6")*(ISNUMBER(L81:BQ81))*(L81:BQ81&gt;0), L81:BQ81)</f>
        <v/>
      </c>
      <c r="BZ81" s="33">
        <f>SUM(BT81:BY81)</f>
        <v/>
      </c>
      <c r="CB81" s="38" t="n"/>
      <c r="CC81" s="38" t="n"/>
      <c r="CD81" s="38" t="n"/>
      <c r="CE81" s="38" t="n"/>
      <c r="CF81" s="38" t="n"/>
      <c r="CG81" s="38" t="n"/>
    </row>
    <row r="82" ht="15.5" customHeight="1">
      <c r="A82" s="43" t="n">
        <v>75</v>
      </c>
      <c r="B82" s="43" t="n"/>
      <c r="C82" s="43" t="n"/>
      <c r="D82" s="7" t="n"/>
      <c r="L82" s="7" t="n"/>
      <c r="N82" s="7" t="n"/>
      <c r="O82" s="7" t="n"/>
      <c r="P82" s="7" t="n"/>
      <c r="Y82" s="28">
        <f>SUM(E82:P82)+(IF(Q82&lt;&gt;"",Q82,R82))+(IF(S82&lt;&gt;"",S82,T82))+(IF(U82&lt;&gt;"",U82,V82))+(IF(W82&lt;&gt;"",W82,X82))</f>
        <v/>
      </c>
      <c r="AH82" s="7" t="n"/>
      <c r="AJ82" s="7" t="n"/>
      <c r="AK82" s="7" t="n"/>
      <c r="AL82" s="7" t="n"/>
      <c r="AU82" s="31">
        <f>SUM(AA82:AL82)+(IF(AM82&lt;&gt;"",AM82,AN82))+(IF(AO82&lt;&gt;"",AO82,AP82))+(IF(AQ82&lt;&gt;"",AQ82,AR82))+(IF(AS82&lt;&gt;"",AS82,AT82))</f>
        <v/>
      </c>
      <c r="BD82" s="5" t="n"/>
      <c r="BE82" s="5" t="n"/>
      <c r="BF82" s="5" t="n"/>
      <c r="BG82" s="5" t="n"/>
      <c r="BH82" s="5" t="n"/>
      <c r="BI82" s="5" t="n"/>
      <c r="BJ82" s="25">
        <f>SUM(BD82:BI82)</f>
        <v/>
      </c>
      <c r="BL82" s="5" t="n"/>
      <c r="BM82" s="5" t="n"/>
      <c r="BN82" s="5" t="n"/>
      <c r="BO82" s="5" t="n"/>
      <c r="BP82" s="5" t="n"/>
      <c r="BQ82" s="5" t="n"/>
      <c r="BR82" s="33">
        <f>SUM(BL82:BQ82)</f>
        <v/>
      </c>
      <c r="BT82" s="36">
        <f>SUMPRODUCT(($AW$5:$BQ$5="CO1")*AW82:BQ82)</f>
        <v/>
      </c>
      <c r="BU82" s="33">
        <f>SUMPRODUCT(($E$5:$BJ$5="CO2")*(ISNUMBER(L82:BQ82))*(L82:BQ82&gt;0), L82:BQ82)</f>
        <v/>
      </c>
      <c r="BV82" s="37">
        <f>SUMPRODUCT(($AW$5:$BR$5="CO3")*AW82:BR82)</f>
        <v/>
      </c>
      <c r="BW82" s="37">
        <f>SUMPRODUCT(($AW$5:$BR$5="CO4")*AW82:BR82)</f>
        <v/>
      </c>
      <c r="BX82" s="37">
        <f>SUMPRODUCT(($AW$5:$BR$5="CO5")*AW82:BR82)</f>
        <v/>
      </c>
      <c r="BY82" s="33">
        <f>SUMPRODUCT(($E$5:$BJ$5="CO6")*(ISNUMBER(L82:BQ82))*(L82:BQ82&gt;0), L82:BQ82)</f>
        <v/>
      </c>
      <c r="BZ82" s="33">
        <f>SUM(BT82:BY82)</f>
        <v/>
      </c>
      <c r="CB82" s="38" t="n"/>
      <c r="CC82" s="38" t="n"/>
      <c r="CD82" s="38" t="n"/>
      <c r="CE82" s="38" t="n"/>
      <c r="CF82" s="38" t="n"/>
      <c r="CG82" s="38" t="n"/>
    </row>
    <row r="83" ht="15.5" customHeight="1">
      <c r="A83" s="43" t="n">
        <v>76</v>
      </c>
      <c r="B83" s="43" t="n"/>
      <c r="C83" s="43" t="n"/>
      <c r="D83" s="7" t="n"/>
      <c r="L83" s="7" t="n"/>
      <c r="N83" s="7" t="n"/>
      <c r="O83" s="7" t="n"/>
      <c r="P83" s="7" t="n"/>
      <c r="Y83" s="28">
        <f>SUM(E83:P83)+(IF(Q83&lt;&gt;"",Q83,R83))+(IF(S83&lt;&gt;"",S83,T83))+(IF(U83&lt;&gt;"",U83,V83))+(IF(W83&lt;&gt;"",W83,X83))</f>
        <v/>
      </c>
      <c r="AH83" s="7" t="n"/>
      <c r="AJ83" s="7" t="n"/>
      <c r="AK83" s="7" t="n"/>
      <c r="AL83" s="7" t="n"/>
      <c r="AU83" s="31">
        <f>SUM(AA83:AL83)+(IF(AM83&lt;&gt;"",AM83,AN83))+(IF(AO83&lt;&gt;"",AO83,AP83))+(IF(AQ83&lt;&gt;"",AQ83,AR83))+(IF(AS83&lt;&gt;"",AS83,AT83))</f>
        <v/>
      </c>
      <c r="BD83" s="5" t="n"/>
      <c r="BE83" s="5" t="n"/>
      <c r="BF83" s="5" t="n"/>
      <c r="BG83" s="5" t="n"/>
      <c r="BH83" s="5" t="n"/>
      <c r="BI83" s="5" t="n"/>
      <c r="BJ83" s="25">
        <f>SUM(BD83:BI83)</f>
        <v/>
      </c>
      <c r="BL83" s="5" t="n"/>
      <c r="BM83" s="5" t="n"/>
      <c r="BN83" s="5" t="n"/>
      <c r="BO83" s="5" t="n"/>
      <c r="BP83" s="5" t="n"/>
      <c r="BQ83" s="5" t="n"/>
      <c r="BR83" s="33">
        <f>SUM(BL83:BQ83)</f>
        <v/>
      </c>
      <c r="BT83" s="36">
        <f>SUMPRODUCT(($AW$5:$BQ$5="CO1")*AW83:BQ83)</f>
        <v/>
      </c>
      <c r="BU83" s="33">
        <f>SUMPRODUCT(($E$5:$BJ$5="CO2")*(ISNUMBER(L83:BQ83))*(L83:BQ83&gt;0), L83:BQ83)</f>
        <v/>
      </c>
      <c r="BV83" s="37">
        <f>SUMPRODUCT(($AW$5:$BR$5="CO3")*AW83:BR83)</f>
        <v/>
      </c>
      <c r="BW83" s="37">
        <f>SUMPRODUCT(($AW$5:$BR$5="CO4")*AW83:BR83)</f>
        <v/>
      </c>
      <c r="BX83" s="37">
        <f>SUMPRODUCT(($AW$5:$BR$5="CO5")*AW83:BR83)</f>
        <v/>
      </c>
      <c r="BY83" s="33">
        <f>SUMPRODUCT(($E$5:$BJ$5="CO6")*(ISNUMBER(L83:BQ83))*(L83:BQ83&gt;0), L83:BQ83)</f>
        <v/>
      </c>
      <c r="BZ83" s="33">
        <f>SUM(BT83:BY83)</f>
        <v/>
      </c>
      <c r="CB83" s="38" t="n"/>
      <c r="CC83" s="38" t="n"/>
      <c r="CD83" s="38" t="n"/>
      <c r="CE83" s="38" t="n"/>
      <c r="CF83" s="38" t="n"/>
      <c r="CG83" s="38" t="n"/>
    </row>
    <row r="84" ht="15.5" customHeight="1">
      <c r="A84" s="43" t="n">
        <v>77</v>
      </c>
      <c r="B84" s="43" t="n"/>
      <c r="C84" s="43" t="n"/>
      <c r="D84" s="7" t="n"/>
      <c r="L84" s="7" t="n"/>
      <c r="N84" s="7" t="n"/>
      <c r="O84" s="7" t="n"/>
      <c r="P84" s="7" t="n"/>
      <c r="Y84" s="28">
        <f>SUM(E84:P84)+(IF(Q84&lt;&gt;"",Q84,R84))+(IF(S84&lt;&gt;"",S84,T84))+(IF(U84&lt;&gt;"",U84,V84))+(IF(W84&lt;&gt;"",W84,X84))</f>
        <v/>
      </c>
      <c r="AH84" s="7" t="n"/>
      <c r="AJ84" s="7" t="n"/>
      <c r="AK84" s="7" t="n"/>
      <c r="AL84" s="7" t="n"/>
      <c r="AU84" s="31">
        <f>SUM(AA84:AL84)+(IF(AM84&lt;&gt;"",AM84,AN84))+(IF(AO84&lt;&gt;"",AO84,AP84))+(IF(AQ84&lt;&gt;"",AQ84,AR84))+(IF(AS84&lt;&gt;"",AS84,AT84))</f>
        <v/>
      </c>
      <c r="BD84" s="5" t="n"/>
      <c r="BE84" s="5" t="n"/>
      <c r="BF84" s="5" t="n"/>
      <c r="BG84" s="5" t="n"/>
      <c r="BH84" s="5" t="n"/>
      <c r="BI84" s="5" t="n"/>
      <c r="BJ84" s="25">
        <f>SUM(BD84:BI84)</f>
        <v/>
      </c>
      <c r="BL84" s="5" t="n"/>
      <c r="BM84" s="5" t="n"/>
      <c r="BN84" s="5" t="n"/>
      <c r="BO84" s="5" t="n"/>
      <c r="BP84" s="5" t="n"/>
      <c r="BQ84" s="5" t="n"/>
      <c r="BR84" s="33">
        <f>SUM(BL84:BQ84)</f>
        <v/>
      </c>
      <c r="BT84" s="36">
        <f>SUMPRODUCT(($AW$5:$BQ$5="CO1")*AW84:BQ84)</f>
        <v/>
      </c>
      <c r="BU84" s="33">
        <f>SUMPRODUCT(($E$5:$BJ$5="CO2")*(ISNUMBER(L84:BQ84))*(L84:BQ84&gt;0), L84:BQ84)</f>
        <v/>
      </c>
      <c r="BV84" s="37">
        <f>SUMPRODUCT(($AW$5:$BR$5="CO3")*AW84:BR84)</f>
        <v/>
      </c>
      <c r="BW84" s="37">
        <f>SUMPRODUCT(($AW$5:$BR$5="CO4")*AW84:BR84)</f>
        <v/>
      </c>
      <c r="BX84" s="37">
        <f>SUMPRODUCT(($AW$5:$BR$5="CO5")*AW84:BR84)</f>
        <v/>
      </c>
      <c r="BY84" s="33">
        <f>SUMPRODUCT(($E$5:$BJ$5="CO6")*(ISNUMBER(L84:BQ84))*(L84:BQ84&gt;0), L84:BQ84)</f>
        <v/>
      </c>
      <c r="BZ84" s="33">
        <f>SUM(BT84:BY84)</f>
        <v/>
      </c>
      <c r="CB84" s="38" t="n"/>
      <c r="CC84" s="38" t="n"/>
      <c r="CD84" s="38" t="n"/>
      <c r="CE84" s="38" t="n"/>
      <c r="CF84" s="38" t="n"/>
      <c r="CG84" s="38" t="n"/>
    </row>
    <row r="85" ht="15.5" customHeight="1">
      <c r="A85" s="43" t="n">
        <v>78</v>
      </c>
      <c r="B85" s="43" t="n"/>
      <c r="C85" s="43" t="n"/>
      <c r="D85" s="7" t="n"/>
      <c r="L85" s="7" t="n"/>
      <c r="N85" s="7" t="n"/>
      <c r="O85" s="7" t="n"/>
      <c r="P85" s="7" t="n"/>
      <c r="Y85" s="28">
        <f>SUM(E85:P85)+(IF(Q85&lt;&gt;"",Q85,R85))+(IF(S85&lt;&gt;"",S85,T85))+(IF(U85&lt;&gt;"",U85,V85))+(IF(W85&lt;&gt;"",W85,X85))</f>
        <v/>
      </c>
      <c r="AH85" s="7" t="n"/>
      <c r="AJ85" s="7" t="n"/>
      <c r="AK85" s="7" t="n"/>
      <c r="AL85" s="7" t="n"/>
      <c r="AU85" s="31">
        <f>SUM(AA85:AL85)+(IF(AM85&lt;&gt;"",AM85,AN85))+(IF(AO85&lt;&gt;"",AO85,AP85))+(IF(AQ85&lt;&gt;"",AQ85,AR85))+(IF(AS85&lt;&gt;"",AS85,AT85))</f>
        <v/>
      </c>
      <c r="BD85" s="5" t="n"/>
      <c r="BE85" s="5" t="n"/>
      <c r="BF85" s="5" t="n"/>
      <c r="BG85" s="5" t="n"/>
      <c r="BH85" s="5" t="n"/>
      <c r="BI85" s="5" t="n"/>
      <c r="BJ85" s="25">
        <f>SUM(BD85:BI85)</f>
        <v/>
      </c>
      <c r="BL85" s="5" t="n"/>
      <c r="BM85" s="5" t="n"/>
      <c r="BN85" s="5" t="n"/>
      <c r="BO85" s="5" t="n"/>
      <c r="BP85" s="5" t="n"/>
      <c r="BQ85" s="5" t="n"/>
      <c r="BR85" s="33">
        <f>SUM(BL85:BQ85)</f>
        <v/>
      </c>
      <c r="BT85" s="36">
        <f>SUMPRODUCT(($AW$5:$BQ$5="CO1")*AW85:BQ85)</f>
        <v/>
      </c>
      <c r="BU85" s="33">
        <f>SUMPRODUCT(($E$5:$BJ$5="CO2")*(ISNUMBER(L85:BQ85))*(L85:BQ85&gt;0), L85:BQ85)</f>
        <v/>
      </c>
      <c r="BV85" s="37">
        <f>SUMPRODUCT(($AW$5:$BR$5="CO3")*AW85:BR85)</f>
        <v/>
      </c>
      <c r="BW85" s="37">
        <f>SUMPRODUCT(($AW$5:$BR$5="CO4")*AW85:BR85)</f>
        <v/>
      </c>
      <c r="BX85" s="37">
        <f>SUMPRODUCT(($AW$5:$BR$5="CO5")*AW85:BR85)</f>
        <v/>
      </c>
      <c r="BY85" s="33">
        <f>SUMPRODUCT(($E$5:$BJ$5="CO6")*(ISNUMBER(L85:BQ85))*(L85:BQ85&gt;0), L85:BQ85)</f>
        <v/>
      </c>
      <c r="BZ85" s="33">
        <f>SUM(BT85:BY85)</f>
        <v/>
      </c>
      <c r="CB85" s="38" t="n"/>
      <c r="CC85" s="38" t="n"/>
      <c r="CD85" s="38" t="n"/>
      <c r="CE85" s="38" t="n"/>
      <c r="CF85" s="38" t="n"/>
      <c r="CG85" s="38" t="n"/>
    </row>
    <row r="86" ht="15.5" customHeight="1">
      <c r="A86" s="43" t="n">
        <v>79</v>
      </c>
      <c r="B86" s="43" t="n"/>
      <c r="C86" s="43" t="n"/>
      <c r="D86" s="7" t="n"/>
      <c r="L86" s="7" t="n"/>
      <c r="N86" s="7" t="n"/>
      <c r="O86" s="7" t="n"/>
      <c r="P86" s="7" t="n"/>
      <c r="Y86" s="28">
        <f>SUM(E86:P86)+(IF(Q86&lt;&gt;"",Q86,R86))+(IF(S86&lt;&gt;"",S86,T86))+(IF(U86&lt;&gt;"",U86,V86))+(IF(W86&lt;&gt;"",W86,X86))</f>
        <v/>
      </c>
      <c r="AH86" s="7" t="n"/>
      <c r="AJ86" s="7" t="n"/>
      <c r="AK86" s="7" t="n"/>
      <c r="AL86" s="7" t="n"/>
      <c r="AU86" s="31">
        <f>SUM(AA86:AL86)+(IF(AM86&lt;&gt;"",AM86,AN86))+(IF(AO86&lt;&gt;"",AO86,AP86))+(IF(AQ86&lt;&gt;"",AQ86,AR86))+(IF(AS86&lt;&gt;"",AS86,AT86))</f>
        <v/>
      </c>
      <c r="BD86" s="5" t="n"/>
      <c r="BE86" s="5" t="n"/>
      <c r="BF86" s="5" t="n"/>
      <c r="BG86" s="5" t="n"/>
      <c r="BH86" s="5" t="n"/>
      <c r="BI86" s="5" t="n"/>
      <c r="BJ86" s="25">
        <f>SUM(BD86:BI86)</f>
        <v/>
      </c>
      <c r="BL86" s="5" t="n"/>
      <c r="BM86" s="5" t="n"/>
      <c r="BN86" s="5" t="n"/>
      <c r="BO86" s="5" t="n"/>
      <c r="BP86" s="5" t="n"/>
      <c r="BQ86" s="5" t="n"/>
      <c r="BR86" s="33">
        <f>SUM(BL86:BQ86)</f>
        <v/>
      </c>
      <c r="BT86" s="36">
        <f>SUMPRODUCT(($AW$5:$BQ$5="CO1")*AW86:BQ86)</f>
        <v/>
      </c>
      <c r="BU86" s="33">
        <f>SUMPRODUCT(($E$5:$BJ$5="CO2")*(ISNUMBER(L86:BQ86))*(L86:BQ86&gt;0), L86:BQ86)</f>
        <v/>
      </c>
      <c r="BV86" s="37">
        <f>SUMPRODUCT(($AW$5:$BR$5="CO3")*AW86:BR86)</f>
        <v/>
      </c>
      <c r="BW86" s="37">
        <f>SUMPRODUCT(($AW$5:$BR$5="CO4")*AW86:BR86)</f>
        <v/>
      </c>
      <c r="BX86" s="33">
        <f>SUMPRODUCT(($E$5:$BJ$5="CO5")*(ISNUMBER(L86:BQ86))*(L86:BQ86&gt;0), L86:BQ86)</f>
        <v/>
      </c>
      <c r="BY86" s="33">
        <f>SUMPRODUCT(($E$5:$BJ$5="CO6")*(ISNUMBER(L86:BQ86))*(L86:BQ86&gt;0), L86:BQ86)</f>
        <v/>
      </c>
      <c r="BZ86" s="33">
        <f>SUM(BT86:BY86)</f>
        <v/>
      </c>
      <c r="CB86" s="38" t="n"/>
      <c r="CC86" s="38" t="n"/>
      <c r="CD86" s="38" t="n"/>
      <c r="CE86" s="38" t="n"/>
      <c r="CF86" s="38" t="n"/>
      <c r="CG86" s="38" t="n"/>
    </row>
    <row r="87" ht="15.5" customHeight="1">
      <c r="A87" s="43" t="n">
        <v>80</v>
      </c>
      <c r="B87" s="43" t="n"/>
      <c r="C87" s="43" t="n"/>
      <c r="D87" s="7" t="n"/>
      <c r="L87" s="7" t="n"/>
      <c r="N87" s="7" t="n"/>
      <c r="O87" s="7" t="n"/>
      <c r="P87" s="7" t="n"/>
      <c r="Y87" s="28">
        <f>SUM(E87:P87)+(IF(Q87&lt;&gt;"",Q87,R87))+(IF(S87&lt;&gt;"",S87,T87))+(IF(U87&lt;&gt;"",U87,V87))+(IF(W87&lt;&gt;"",W87,X87))</f>
        <v/>
      </c>
      <c r="AH87" s="7" t="n"/>
      <c r="AJ87" s="7" t="n"/>
      <c r="AK87" s="7" t="n"/>
      <c r="AL87" s="7" t="n"/>
      <c r="AU87" s="31">
        <f>SUM(AA87:AL87)+(IF(AM87&lt;&gt;"",AM87,AN87))+(IF(AO87&lt;&gt;"",AO87,AP87))+(IF(AQ87&lt;&gt;"",AQ87,AR87))+(IF(AS87&lt;&gt;"",AS87,AT87))</f>
        <v/>
      </c>
      <c r="BD87" s="5" t="n"/>
      <c r="BE87" s="5" t="n"/>
      <c r="BF87" s="5" t="n"/>
      <c r="BG87" s="5" t="n"/>
      <c r="BH87" s="5" t="n"/>
      <c r="BI87" s="5" t="n"/>
      <c r="BJ87" s="25">
        <f>SUM(BD87:BI87)</f>
        <v/>
      </c>
      <c r="BL87" s="5" t="n"/>
      <c r="BM87" s="5" t="n"/>
      <c r="BN87" s="5" t="n"/>
      <c r="BO87" s="5" t="n"/>
      <c r="BP87" s="5" t="n"/>
      <c r="BQ87" s="5" t="n"/>
      <c r="BR87" s="33">
        <f>SUM(BL87:BQ87)</f>
        <v/>
      </c>
      <c r="BT87" s="36">
        <f>SUMPRODUCT(($AW$5:$BQ$5="CO1")*AW87:BQ87)</f>
        <v/>
      </c>
      <c r="BU87" s="33">
        <f>SUMPRODUCT(($E$5:$BJ$5="CO2")*(ISNUMBER(L87:BQ87))*(L87:BQ87&gt;0), L87:BQ87)</f>
        <v/>
      </c>
      <c r="BV87" s="37">
        <f>SUMPRODUCT(($AW$5:$BR$5="CO3")*AW87:BR87)</f>
        <v/>
      </c>
      <c r="BW87" s="37">
        <f>SUMPRODUCT(($AW$5:$BR$5="CO4")*AW87:BR87)</f>
        <v/>
      </c>
      <c r="BX87" s="33">
        <f>SUMPRODUCT(($E$5:$BJ$5="CO5")*(ISNUMBER(L87:BQ87))*(L87:BQ87&gt;0), L87:BQ87)</f>
        <v/>
      </c>
      <c r="BY87" s="33">
        <f>SUMPRODUCT(($E$5:$BJ$5="CO6")*(ISNUMBER(L87:BQ87))*(L87:BQ87&gt;0), L87:BQ87)</f>
        <v/>
      </c>
      <c r="BZ87" s="33">
        <f>SUM(BT87:BY87)</f>
        <v/>
      </c>
      <c r="CB87" s="38" t="n"/>
      <c r="CC87" s="38" t="n"/>
      <c r="CD87" s="38" t="n"/>
      <c r="CE87" s="38" t="n"/>
      <c r="CF87" s="38" t="n"/>
      <c r="CG87" s="38" t="n"/>
    </row>
    <row r="88" ht="15.5" customHeight="1">
      <c r="A88" s="43" t="n">
        <v>81</v>
      </c>
      <c r="B88" s="43" t="n"/>
      <c r="C88" s="43" t="n"/>
      <c r="D88" s="7" t="n"/>
      <c r="L88" s="7" t="n"/>
      <c r="N88" s="7" t="n"/>
      <c r="O88" s="7" t="n"/>
      <c r="P88" s="7" t="n"/>
      <c r="Y88" s="24" t="n"/>
      <c r="AH88" s="7" t="n"/>
      <c r="AJ88" s="7" t="n"/>
      <c r="AK88" s="7" t="n"/>
      <c r="AL88" s="7" t="n"/>
      <c r="AU88" s="31">
        <f>SUM(AA88:AL88)+(IF(AM88&lt;&gt;"",AM88,AN88))+(IF(AO88&lt;&gt;"",AO88,AP88))+(IF(AQ88&lt;&gt;"",AQ88,AR88))+(IF(AS88&lt;&gt;"",AS88,AT88))</f>
        <v/>
      </c>
      <c r="BD88" s="5" t="n"/>
      <c r="BE88" s="5" t="n"/>
      <c r="BF88" s="5" t="n"/>
      <c r="BG88" s="5" t="n"/>
      <c r="BH88" s="5" t="n"/>
      <c r="BI88" s="5" t="n"/>
      <c r="BJ88" s="25">
        <f>SUM(BD88:BI88)</f>
        <v/>
      </c>
      <c r="BL88" s="5" t="n"/>
      <c r="BM88" s="5" t="n"/>
      <c r="BN88" s="5" t="n"/>
      <c r="BO88" s="5" t="n"/>
      <c r="BP88" s="5" t="n"/>
      <c r="BQ88" s="5" t="n"/>
      <c r="BR88" s="33">
        <f>SUM(BL88:BQ88)</f>
        <v/>
      </c>
      <c r="BT88" s="36">
        <f>SUMPRODUCT(($AW$5:$BQ$5="CO1")*AW88:BQ88)</f>
        <v/>
      </c>
      <c r="BU88" s="33">
        <f>SUMPRODUCT(($E$5:$BJ$5="CO2")*(ISNUMBER(L88:BQ88))*(L88:BQ88&gt;0), L88:BQ88)</f>
        <v/>
      </c>
      <c r="BV88" s="37">
        <f>SUMPRODUCT(($AW$5:$BR$5="CO3")*AW88:BR88)</f>
        <v/>
      </c>
      <c r="BW88" s="37">
        <f>SUMPRODUCT(($AW$5:$BR$5="CO4")*AW88:BR88)</f>
        <v/>
      </c>
      <c r="BX88" s="33">
        <f>SUMPRODUCT(($E$5:$BJ$5="CO5")*(ISNUMBER(L88:BQ88))*(L88:BQ88&gt;0), L88:BQ88)</f>
        <v/>
      </c>
      <c r="BY88" s="33">
        <f>SUMPRODUCT(($E$5:$BJ$5="CO6")*(ISNUMBER(L88:BQ88))*(L88:BQ88&gt;0), L88:BQ88)</f>
        <v/>
      </c>
      <c r="BZ88" s="33">
        <f>SUM(BT88:BY88)</f>
        <v/>
      </c>
      <c r="CB88" s="38" t="n"/>
      <c r="CC88" s="38" t="n"/>
      <c r="CD88" s="38" t="n"/>
      <c r="CE88" s="38" t="n"/>
      <c r="CF88" s="38" t="n"/>
      <c r="CG88" s="38" t="n"/>
    </row>
    <row r="89" ht="15.5" customHeight="1">
      <c r="A89" s="43" t="n">
        <v>82</v>
      </c>
      <c r="B89" s="43" t="n"/>
      <c r="C89" s="43" t="n"/>
      <c r="D89" s="7" t="n"/>
      <c r="L89" s="7" t="n"/>
      <c r="N89" s="7" t="n"/>
      <c r="O89" s="7" t="n"/>
      <c r="P89" s="7" t="n"/>
      <c r="Y89" s="24" t="n"/>
      <c r="AH89" s="7" t="n"/>
      <c r="AJ89" s="7" t="n"/>
      <c r="AK89" s="7" t="n"/>
      <c r="AL89" s="7" t="n"/>
      <c r="AU89" s="31">
        <f>SUM(AA89:AL89)+(IF(AM89&lt;&gt;"",AM89,AN89))+(IF(AO89&lt;&gt;"",AO89,AP89))+(IF(AQ89&lt;&gt;"",AQ89,AR89))+(IF(AS89&lt;&gt;"",AS89,AT89))</f>
        <v/>
      </c>
      <c r="BD89" s="5" t="n"/>
      <c r="BE89" s="5" t="n"/>
      <c r="BF89" s="5" t="n"/>
      <c r="BG89" s="5" t="n"/>
      <c r="BH89" s="5" t="n"/>
      <c r="BI89" s="5" t="n"/>
      <c r="BJ89" s="25">
        <f>SUM(BD89:BI89)</f>
        <v/>
      </c>
      <c r="BL89" s="5" t="n"/>
      <c r="BM89" s="5" t="n"/>
      <c r="BN89" s="5" t="n"/>
      <c r="BO89" s="5" t="n"/>
      <c r="BP89" s="5" t="n"/>
      <c r="BQ89" s="5" t="n"/>
      <c r="BR89" s="33">
        <f>SUM(BL89:BQ89)</f>
        <v/>
      </c>
      <c r="BT89" s="36">
        <f>SUMPRODUCT(($AW$5:$BQ$5="CO1")*AW89:BQ89)</f>
        <v/>
      </c>
      <c r="BU89" s="33">
        <f>SUMPRODUCT(($E$5:$BJ$5="CO2")*(ISNUMBER(L89:BQ89))*(L89:BQ89&gt;0), L89:BQ89)</f>
        <v/>
      </c>
      <c r="BV89" s="37">
        <f>SUMPRODUCT(($AW$5:$BR$5="CO3")*AW89:BR89)</f>
        <v/>
      </c>
      <c r="BW89" s="37">
        <f>SUMPRODUCT(($AW$5:$BR$5="CO4")*AW89:BR89)</f>
        <v/>
      </c>
      <c r="BX89" s="33">
        <f>SUMPRODUCT(($E$5:$BJ$5="CO5")*(ISNUMBER(L89:BQ89))*(L89:BQ89&gt;0), L89:BQ89)</f>
        <v/>
      </c>
      <c r="BY89" s="33">
        <f>SUMPRODUCT(($E$5:$BJ$5="CO6")*(ISNUMBER(L89:BQ89))*(L89:BQ89&gt;0), L89:BQ89)</f>
        <v/>
      </c>
      <c r="BZ89" s="33">
        <f>SUM(BT89:BY89)</f>
        <v/>
      </c>
      <c r="CB89" s="38" t="n"/>
      <c r="CC89" s="38" t="n"/>
      <c r="CD89" s="38" t="n"/>
      <c r="CE89" s="38" t="n"/>
      <c r="CF89" s="38" t="n"/>
      <c r="CG89" s="38" t="n"/>
    </row>
    <row r="90" ht="15.5" customHeight="1">
      <c r="A90" s="43" t="n">
        <v>83</v>
      </c>
      <c r="B90" s="43" t="n"/>
      <c r="C90" s="43" t="n"/>
      <c r="D90" s="7" t="n"/>
      <c r="L90" s="7" t="n"/>
      <c r="N90" s="7" t="n"/>
      <c r="O90" s="7" t="n"/>
      <c r="P90" s="7" t="n"/>
      <c r="Y90" s="24" t="n"/>
      <c r="AH90" s="7" t="n"/>
      <c r="AJ90" s="7" t="n"/>
      <c r="AK90" s="7" t="n"/>
      <c r="AL90" s="7" t="n"/>
      <c r="AU90" s="31">
        <f>SUM(AA90:AL90)+(IF(AM90&lt;&gt;"",AM90,AN90))+(IF(AO90&lt;&gt;"",AO90,AP90))+(IF(AQ90&lt;&gt;"",AQ90,AR90))+(IF(AS90&lt;&gt;"",AS90,AT90))</f>
        <v/>
      </c>
      <c r="BD90" s="5" t="n"/>
      <c r="BE90" s="5" t="n"/>
      <c r="BF90" s="5" t="n"/>
      <c r="BG90" s="5" t="n"/>
      <c r="BH90" s="5" t="n"/>
      <c r="BI90" s="5" t="n"/>
      <c r="BJ90" s="25">
        <f>SUM(BD90:BI90)</f>
        <v/>
      </c>
      <c r="BL90" s="5" t="n"/>
      <c r="BM90" s="5" t="n"/>
      <c r="BN90" s="5" t="n"/>
      <c r="BO90" s="5" t="n"/>
      <c r="BP90" s="5" t="n"/>
      <c r="BQ90" s="5" t="n"/>
      <c r="BR90" s="33">
        <f>SUM(BL90:BQ90)</f>
        <v/>
      </c>
      <c r="BT90" s="36">
        <f>SUMPRODUCT(($AW$5:$BQ$5="CO1")*AW90:BQ90)</f>
        <v/>
      </c>
      <c r="BU90" s="33">
        <f>SUMPRODUCT(($E$5:$BJ$5="CO2")*(ISNUMBER(L90:BQ90))*(L90:BQ90&gt;0), L90:BQ90)</f>
        <v/>
      </c>
      <c r="BV90" s="37">
        <f>SUMPRODUCT(($AW$5:$BR$5="CO3")*AW90:BR90)</f>
        <v/>
      </c>
      <c r="BW90" s="37">
        <f>SUMPRODUCT(($AW$5:$BR$5="CO4")*AW90:BR90)</f>
        <v/>
      </c>
      <c r="BX90" s="33">
        <f>SUMPRODUCT(($E$5:$BJ$5="CO5")*(ISNUMBER(L90:BQ90))*(L90:BQ90&gt;0), L90:BQ90)</f>
        <v/>
      </c>
      <c r="BY90" s="33">
        <f>SUMPRODUCT(($E$5:$BJ$5="CO6")*(ISNUMBER(L90:BQ90))*(L90:BQ90&gt;0), L90:BQ90)</f>
        <v/>
      </c>
      <c r="BZ90" s="33">
        <f>SUM(BT90:BY90)</f>
        <v/>
      </c>
      <c r="CB90" s="38" t="n"/>
      <c r="CC90" s="38" t="n"/>
      <c r="CD90" s="38" t="n"/>
      <c r="CE90" s="38" t="n"/>
      <c r="CF90" s="38" t="n"/>
      <c r="CG90" s="38" t="n"/>
    </row>
    <row r="91" ht="15.5" customHeight="1">
      <c r="A91" s="43" t="n">
        <v>84</v>
      </c>
      <c r="B91" s="43" t="n"/>
      <c r="C91" s="43" t="n"/>
      <c r="D91" s="7" t="n"/>
      <c r="L91" s="7" t="n"/>
      <c r="N91" s="7" t="n"/>
      <c r="O91" s="7" t="n"/>
      <c r="P91" s="7" t="n"/>
      <c r="Y91" s="24" t="n"/>
      <c r="AH91" s="7" t="n"/>
      <c r="AJ91" s="7" t="n"/>
      <c r="AK91" s="7" t="n"/>
      <c r="AL91" s="7" t="n"/>
      <c r="AU91" s="31">
        <f>SUM(AA91:AL91)+(IF(AM91&lt;&gt;"",AM91,AN91))+(IF(AO91&lt;&gt;"",AO91,AP91))+(IF(AQ91&lt;&gt;"",AQ91,AR91))+(IF(AS91&lt;&gt;"",AS91,AT91))</f>
        <v/>
      </c>
      <c r="BD91" s="5" t="n"/>
      <c r="BE91" s="5" t="n"/>
      <c r="BF91" s="5" t="n"/>
      <c r="BG91" s="5" t="n"/>
      <c r="BH91" s="5" t="n"/>
      <c r="BI91" s="5" t="n"/>
      <c r="BJ91" s="25">
        <f>SUM(BD91:BI91)</f>
        <v/>
      </c>
      <c r="BL91" s="5" t="n"/>
      <c r="BM91" s="5" t="n"/>
      <c r="BN91" s="5" t="n"/>
      <c r="BO91" s="5" t="n"/>
      <c r="BP91" s="5" t="n"/>
      <c r="BQ91" s="5" t="n"/>
      <c r="BR91" s="33">
        <f>SUM(BL91:BQ91)</f>
        <v/>
      </c>
      <c r="BT91" s="36">
        <f>SUMPRODUCT(($AW$5:$BQ$5="CO1")*AW91:BQ91)</f>
        <v/>
      </c>
      <c r="BU91" s="33">
        <f>SUMPRODUCT(($E$5:$BJ$5="CO2")*(ISNUMBER(L91:BQ91))*(L91:BQ91&gt;0), L91:BQ91)</f>
        <v/>
      </c>
      <c r="BV91" s="37">
        <f>SUMPRODUCT(($AW$5:$BR$5="CO3")*AW91:BR91)</f>
        <v/>
      </c>
      <c r="BW91" s="37">
        <f>SUMPRODUCT(($AW$5:$BR$5="CO4")*AW91:BR91)</f>
        <v/>
      </c>
      <c r="BX91" s="33">
        <f>SUMPRODUCT(($E$5:$BJ$5="CO5")*(ISNUMBER(L91:BQ91))*(L91:BQ91&gt;0), L91:BQ91)</f>
        <v/>
      </c>
      <c r="BY91" s="33">
        <f>SUMPRODUCT(($E$5:$BJ$5="CO6")*(ISNUMBER(L91:BQ91))*(L91:BQ91&gt;0), L91:BQ91)</f>
        <v/>
      </c>
      <c r="BZ91" s="33">
        <f>SUM(BT91:BY91)</f>
        <v/>
      </c>
      <c r="CB91" s="38" t="n"/>
      <c r="CC91" s="38" t="n"/>
      <c r="CD91" s="38" t="n"/>
      <c r="CE91" s="38" t="n"/>
      <c r="CF91" s="38" t="n"/>
      <c r="CG91" s="38" t="n"/>
    </row>
    <row r="92" ht="15.5" customHeight="1">
      <c r="A92" s="43" t="n">
        <v>85</v>
      </c>
      <c r="B92" s="43" t="n"/>
      <c r="C92" s="43" t="n"/>
      <c r="D92" s="7" t="n"/>
      <c r="L92" s="7" t="n"/>
      <c r="N92" s="7" t="n"/>
      <c r="O92" s="7" t="n"/>
      <c r="P92" s="7" t="n"/>
      <c r="Y92" s="24" t="n"/>
      <c r="AH92" s="7" t="n"/>
      <c r="AJ92" s="7" t="n"/>
      <c r="AK92" s="7" t="n"/>
      <c r="AL92" s="7" t="n"/>
      <c r="AU92" s="31">
        <f>SUM(AA92:AL92)+(IF(AM92&lt;&gt;"",AM92,AN92))+(IF(AO92&lt;&gt;"",AO92,AP92))+(IF(AQ92&lt;&gt;"",AQ92,AR92))+(IF(AS92&lt;&gt;"",AS92,AT92))</f>
        <v/>
      </c>
      <c r="BD92" s="5" t="n"/>
      <c r="BE92" s="5" t="n"/>
      <c r="BF92" s="5" t="n"/>
      <c r="BG92" s="5" t="n"/>
      <c r="BH92" s="5" t="n"/>
      <c r="BI92" s="5" t="n"/>
      <c r="BJ92" s="25">
        <f>SUM(BD92:BI92)</f>
        <v/>
      </c>
      <c r="BL92" s="5" t="n"/>
      <c r="BM92" s="5" t="n"/>
      <c r="BN92" s="5" t="n"/>
      <c r="BO92" s="5" t="n"/>
      <c r="BP92" s="5" t="n"/>
      <c r="BQ92" s="5" t="n"/>
      <c r="BR92" s="33">
        <f>SUM(BL92:BQ92)</f>
        <v/>
      </c>
      <c r="BT92" s="36">
        <f>SUMPRODUCT(($AW$5:$BQ$5="CO1")*AW92:BQ92)</f>
        <v/>
      </c>
      <c r="BU92" s="33">
        <f>SUMPRODUCT(($E$5:$BJ$5="CO2")*(ISNUMBER(L92:BQ92))*(L92:BQ92&gt;0), L92:BQ92)</f>
        <v/>
      </c>
      <c r="BV92" s="37">
        <f>SUMPRODUCT(($AW$5:$BR$5="CO3")*AW92:BR92)</f>
        <v/>
      </c>
      <c r="BW92" s="37">
        <f>SUMPRODUCT(($AW$5:$BR$5="CO4")*AW92:BR92)</f>
        <v/>
      </c>
      <c r="BX92" s="33">
        <f>SUMPRODUCT(($E$5:$BJ$5="CO5")*(ISNUMBER(L92:BQ92))*(L92:BQ92&gt;0), L92:BQ92)</f>
        <v/>
      </c>
      <c r="BY92" s="33">
        <f>SUMPRODUCT(($E$5:$BJ$5="CO6")*(ISNUMBER(L92:BQ92))*(L92:BQ92&gt;0), L92:BQ92)</f>
        <v/>
      </c>
      <c r="BZ92" s="33">
        <f>SUM(BT92:BY92)</f>
        <v/>
      </c>
      <c r="CB92" s="38" t="n"/>
      <c r="CC92" s="38" t="n"/>
      <c r="CD92" s="38" t="n"/>
      <c r="CE92" s="38" t="n"/>
      <c r="CF92" s="38" t="n"/>
      <c r="CG92" s="38" t="n"/>
    </row>
    <row r="93" ht="15.5" customHeight="1">
      <c r="A93" s="43" t="n">
        <v>86</v>
      </c>
      <c r="B93" s="43" t="n"/>
      <c r="C93" s="43" t="n"/>
      <c r="D93" s="7" t="n"/>
      <c r="L93" s="7" t="n"/>
      <c r="N93" s="7" t="n"/>
      <c r="O93" s="7" t="n"/>
      <c r="P93" s="7" t="n"/>
      <c r="Y93" s="24" t="n"/>
      <c r="AH93" s="7" t="n"/>
      <c r="AJ93" s="7" t="n"/>
      <c r="AK93" s="7" t="n"/>
      <c r="AL93" s="7" t="n"/>
      <c r="AU93" s="31">
        <f>SUM(AA93:AL93)+(IF(AM93&lt;&gt;"",AM93,AN93))+(IF(AO93&lt;&gt;"",AO93,AP93))+(IF(AQ93&lt;&gt;"",AQ93,AR93))+(IF(AS93&lt;&gt;"",AS93,AT93))</f>
        <v/>
      </c>
      <c r="BD93" s="5" t="n"/>
      <c r="BE93" s="5" t="n"/>
      <c r="BF93" s="5" t="n"/>
      <c r="BG93" s="5" t="n"/>
      <c r="BH93" s="5" t="n"/>
      <c r="BI93" s="5" t="n"/>
      <c r="BJ93" s="25">
        <f>SUM(BD93:BI93)</f>
        <v/>
      </c>
      <c r="BL93" s="5" t="n"/>
      <c r="BM93" s="5" t="n"/>
      <c r="BN93" s="5" t="n"/>
      <c r="BO93" s="5" t="n"/>
      <c r="BP93" s="5" t="n"/>
      <c r="BQ93" s="5" t="n"/>
      <c r="BR93" s="33">
        <f>SUM(BL93:BQ93)</f>
        <v/>
      </c>
      <c r="BT93" s="36">
        <f>SUMPRODUCT(($AW$5:$BQ$5="CO1")*AW93:BQ93)</f>
        <v/>
      </c>
      <c r="BU93" s="33">
        <f>SUMPRODUCT(($E$5:$BJ$5="CO2")*(ISNUMBER(L93:BQ93))*(L93:BQ93&gt;0), L93:BQ93)</f>
        <v/>
      </c>
      <c r="BV93" s="37">
        <f>SUMPRODUCT(($AW$5:$BR$5="CO3")*AW93:BR93)</f>
        <v/>
      </c>
      <c r="BW93" s="37">
        <f>SUMPRODUCT(($AW$5:$BR$5="CO4")*AW93:BR93)</f>
        <v/>
      </c>
      <c r="BX93" s="33">
        <f>SUMPRODUCT(($E$5:$BJ$5="CO5")*(ISNUMBER(L93:BQ93))*(L93:BQ93&gt;0), L93:BQ93)</f>
        <v/>
      </c>
      <c r="BY93" s="33">
        <f>SUMPRODUCT(($E$5:$BJ$5="CO6")*(ISNUMBER(L93:BQ93))*(L93:BQ93&gt;0), L93:BQ93)</f>
        <v/>
      </c>
      <c r="BZ93" s="33">
        <f>SUM(BT93:BY93)</f>
        <v/>
      </c>
      <c r="CB93" s="38" t="n"/>
      <c r="CC93" s="38" t="n"/>
      <c r="CD93" s="38" t="n"/>
      <c r="CE93" s="38" t="n"/>
      <c r="CF93" s="38" t="n"/>
      <c r="CG93" s="38" t="n"/>
    </row>
    <row r="94" ht="15.5" customHeight="1">
      <c r="A94" s="43" t="n">
        <v>87</v>
      </c>
      <c r="B94" s="43" t="n"/>
      <c r="C94" s="43" t="n"/>
      <c r="D94" s="7" t="n"/>
      <c r="L94" s="7" t="n"/>
      <c r="N94" s="7" t="n"/>
      <c r="O94" s="7" t="n"/>
      <c r="P94" s="7" t="n"/>
      <c r="Y94" s="24" t="n"/>
      <c r="AH94" s="7" t="n"/>
      <c r="AJ94" s="7" t="n"/>
      <c r="AK94" s="7" t="n"/>
      <c r="AL94" s="7" t="n"/>
      <c r="AU94" s="31">
        <f>SUM(AA94:AL94)+(IF(AM94&lt;&gt;"",AM94,AN94))+(IF(AO94&lt;&gt;"",AO94,AP94))+(IF(AQ94&lt;&gt;"",AQ94,AR94))+(IF(AS94&lt;&gt;"",AS94,AT94))</f>
        <v/>
      </c>
      <c r="BD94" s="5" t="n"/>
      <c r="BE94" s="5" t="n"/>
      <c r="BF94" s="5" t="n"/>
      <c r="BG94" s="5" t="n"/>
      <c r="BH94" s="5" t="n"/>
      <c r="BI94" s="5" t="n"/>
      <c r="BJ94" s="25">
        <f>SUM(BD94:BI94)</f>
        <v/>
      </c>
      <c r="BL94" s="5" t="n"/>
      <c r="BM94" s="5" t="n"/>
      <c r="BN94" s="5" t="n"/>
      <c r="BO94" s="5" t="n"/>
      <c r="BP94" s="5" t="n"/>
      <c r="BQ94" s="5" t="n"/>
      <c r="BR94" s="33">
        <f>SUM(BL94:BQ94)</f>
        <v/>
      </c>
      <c r="BT94" s="36">
        <f>SUMPRODUCT(($AW$5:$BQ$5="CO1")*AW94:BQ94)</f>
        <v/>
      </c>
      <c r="BU94" s="33">
        <f>SUMPRODUCT(($E$5:$BJ$5="CO2")*(ISNUMBER(L94:BQ94))*(L94:BQ94&gt;0), L94:BQ94)</f>
        <v/>
      </c>
      <c r="BV94" s="37">
        <f>SUMPRODUCT(($AW$5:$BR$5="CO3")*AW94:BR94)</f>
        <v/>
      </c>
      <c r="BW94" s="37">
        <f>SUMPRODUCT(($AW$5:$BR$5="CO4")*AW94:BR94)</f>
        <v/>
      </c>
      <c r="BX94" s="33">
        <f>SUMPRODUCT(($E$5:$BJ$5="CO5")*(ISNUMBER(L94:BQ94))*(L94:BQ94&gt;0), L94:BQ94)</f>
        <v/>
      </c>
      <c r="BY94" s="33">
        <f>SUMPRODUCT(($E$5:$BJ$5="CO6")*(ISNUMBER(L94:BQ94))*(L94:BQ94&gt;0), L94:BQ94)</f>
        <v/>
      </c>
      <c r="BZ94" s="33">
        <f>SUM(BT94:BY94)</f>
        <v/>
      </c>
      <c r="CB94" s="38" t="n"/>
      <c r="CC94" s="38" t="n"/>
      <c r="CD94" s="38" t="n"/>
      <c r="CE94" s="38" t="n"/>
      <c r="CF94" s="38" t="n"/>
      <c r="CG94" s="38" t="n"/>
    </row>
    <row r="95" ht="15.5" customHeight="1">
      <c r="A95" s="43" t="n">
        <v>88</v>
      </c>
      <c r="B95" s="43" t="n"/>
      <c r="C95" s="43" t="n"/>
      <c r="D95" s="7" t="n"/>
      <c r="L95" s="7" t="n"/>
      <c r="N95" s="7" t="n"/>
      <c r="O95" s="7" t="n"/>
      <c r="P95" s="7" t="n"/>
      <c r="Y95" s="24" t="n"/>
      <c r="AH95" s="7" t="n"/>
      <c r="AJ95" s="7" t="n"/>
      <c r="AK95" s="7" t="n"/>
      <c r="AL95" s="7" t="n"/>
      <c r="AU95" s="31">
        <f>SUM(AA95:AL95)+(IF(AM95&lt;&gt;"",AM95,AN95))+(IF(AO95&lt;&gt;"",AO95,AP95))+(IF(AQ95&lt;&gt;"",AQ95,AR95))+(IF(AS95&lt;&gt;"",AS95,AT95))</f>
        <v/>
      </c>
      <c r="BD95" s="5" t="n"/>
      <c r="BE95" s="5" t="n"/>
      <c r="BF95" s="5" t="n"/>
      <c r="BG95" s="5" t="n"/>
      <c r="BH95" s="5" t="n"/>
      <c r="BI95" s="5" t="n"/>
      <c r="BJ95" s="25">
        <f>SUM(BD95:BI95)</f>
        <v/>
      </c>
      <c r="BL95" s="5" t="n"/>
      <c r="BM95" s="5" t="n"/>
      <c r="BN95" s="5" t="n"/>
      <c r="BO95" s="5" t="n"/>
      <c r="BP95" s="5" t="n"/>
      <c r="BQ95" s="5" t="n"/>
      <c r="BR95" s="33">
        <f>SUM(BL95:BQ95)</f>
        <v/>
      </c>
      <c r="BT95" s="36">
        <f>SUMPRODUCT(($AW$5:$BQ$5="CO1")*AW95:BQ95)</f>
        <v/>
      </c>
      <c r="BU95" s="33">
        <f>SUMPRODUCT(($E$5:$BJ$5="CO2")*(ISNUMBER(L95:BQ95))*(L95:BQ95&gt;0), L95:BQ95)</f>
        <v/>
      </c>
      <c r="BV95" s="37">
        <f>SUMPRODUCT(($AW$5:$BR$5="CO3")*AW95:BR95)</f>
        <v/>
      </c>
      <c r="BW95" s="37">
        <f>SUMPRODUCT(($AW$5:$BR$5="CO4")*AW95:BR95)</f>
        <v/>
      </c>
      <c r="BX95" s="33">
        <f>SUMPRODUCT(($E$5:$BJ$5="CO5")*(ISNUMBER(L95:BQ95))*(L95:BQ95&gt;0), L95:BQ95)</f>
        <v/>
      </c>
      <c r="BY95" s="33">
        <f>SUMPRODUCT(($E$5:$BJ$5="CO6")*(ISNUMBER(L95:BQ95))*(L95:BQ95&gt;0), L95:BQ95)</f>
        <v/>
      </c>
      <c r="BZ95" s="33">
        <f>SUM(BT95:BY95)</f>
        <v/>
      </c>
      <c r="CB95" s="38" t="n"/>
      <c r="CC95" s="38" t="n"/>
      <c r="CD95" s="38" t="n"/>
      <c r="CE95" s="38" t="n"/>
      <c r="CF95" s="38" t="n"/>
      <c r="CG95" s="38" t="n"/>
    </row>
    <row r="96" ht="15.5" customHeight="1">
      <c r="A96" s="43" t="n">
        <v>89</v>
      </c>
      <c r="B96" s="43" t="n"/>
      <c r="C96" s="43" t="n"/>
      <c r="D96" s="7" t="n"/>
      <c r="L96" s="7" t="n"/>
      <c r="N96" s="7" t="n"/>
      <c r="O96" s="7" t="n"/>
      <c r="P96" s="7" t="n"/>
      <c r="Y96" s="24" t="n"/>
      <c r="AH96" s="7" t="n"/>
      <c r="AJ96" s="7" t="n"/>
      <c r="AK96" s="7" t="n"/>
      <c r="AL96" s="7" t="n"/>
      <c r="AU96" s="31">
        <f>SUM(AA96:AL96)+(IF(AM96&lt;&gt;"",AM96,AN96))+(IF(AO96&lt;&gt;"",AO96,AP96))+(IF(AQ96&lt;&gt;"",AQ96,AR96))+(IF(AS96&lt;&gt;"",AS96,AT96))</f>
        <v/>
      </c>
      <c r="BD96" s="5" t="n"/>
      <c r="BE96" s="5" t="n"/>
      <c r="BF96" s="5" t="n"/>
      <c r="BG96" s="5" t="n"/>
      <c r="BH96" s="5" t="n"/>
      <c r="BI96" s="5" t="n"/>
      <c r="BJ96" s="25">
        <f>SUM(BD96:BI96)</f>
        <v/>
      </c>
      <c r="BL96" s="5" t="n"/>
      <c r="BM96" s="5" t="n"/>
      <c r="BN96" s="5" t="n"/>
      <c r="BO96" s="5" t="n"/>
      <c r="BP96" s="5" t="n"/>
      <c r="BQ96" s="5" t="n"/>
      <c r="BR96" s="33">
        <f>SUM(BL96:BQ96)</f>
        <v/>
      </c>
      <c r="BT96" s="36">
        <f>SUMPRODUCT(($AW$5:$BQ$5="CO1")*AW96:BQ96)</f>
        <v/>
      </c>
      <c r="BU96" s="33">
        <f>SUMPRODUCT(($E$5:$BJ$5="CO2")*(ISNUMBER(L96:BQ96))*(L96:BQ96&gt;0), L96:BQ96)</f>
        <v/>
      </c>
      <c r="BV96" s="37">
        <f>SUMPRODUCT(($AW$5:$BR$5="CO3")*AW96:BR96)</f>
        <v/>
      </c>
      <c r="BW96" s="37">
        <f>SUMPRODUCT(($AW$5:$BR$5="CO4")*AW96:BR96)</f>
        <v/>
      </c>
      <c r="BX96" s="33">
        <f>SUMPRODUCT(($E$5:$BJ$5="CO5")*(ISNUMBER(L96:BQ96))*(L96:BQ96&gt;0), L96:BQ96)</f>
        <v/>
      </c>
      <c r="BY96" s="33">
        <f>SUMPRODUCT(($E$5:$BJ$5="CO6")*(ISNUMBER(L96:BQ96))*(L96:BQ96&gt;0), L96:BQ96)</f>
        <v/>
      </c>
      <c r="BZ96" s="33">
        <f>SUM(BT96:BY96)</f>
        <v/>
      </c>
      <c r="CB96" s="38" t="n"/>
      <c r="CC96" s="38" t="n"/>
      <c r="CD96" s="38" t="n"/>
      <c r="CE96" s="38" t="n"/>
      <c r="CF96" s="38" t="n"/>
      <c r="CG96" s="38" t="n"/>
    </row>
    <row r="97" ht="15.5" customHeight="1">
      <c r="A97" s="43" t="n">
        <v>90</v>
      </c>
      <c r="B97" s="43" t="n"/>
      <c r="C97" s="43" t="n"/>
      <c r="D97" s="7" t="n"/>
      <c r="L97" s="7" t="n"/>
      <c r="N97" s="7" t="n"/>
      <c r="O97" s="7" t="n"/>
      <c r="P97" s="7" t="n"/>
      <c r="Y97" s="24" t="n"/>
      <c r="AH97" s="7" t="n"/>
      <c r="AJ97" s="7" t="n"/>
      <c r="AK97" s="7" t="n"/>
      <c r="AL97" s="7" t="n"/>
      <c r="AU97" s="31">
        <f>SUM(AA97:AL97)+(IF(AM97&lt;&gt;"",AM97,AN97))+(IF(AO97&lt;&gt;"",AO97,AP97))+(IF(AQ97&lt;&gt;"",AQ97,AR97))+(IF(AS97&lt;&gt;"",AS97,AT97))</f>
        <v/>
      </c>
      <c r="BD97" s="5" t="n"/>
      <c r="BE97" s="5" t="n"/>
      <c r="BF97" s="5" t="n"/>
      <c r="BG97" s="5" t="n"/>
      <c r="BH97" s="5" t="n"/>
      <c r="BI97" s="5" t="n"/>
      <c r="BJ97" s="25">
        <f>SUM(BD97:BI97)</f>
        <v/>
      </c>
      <c r="BL97" s="5" t="n"/>
      <c r="BM97" s="5" t="n"/>
      <c r="BN97" s="5" t="n"/>
      <c r="BO97" s="5" t="n"/>
      <c r="BP97" s="5" t="n"/>
      <c r="BQ97" s="5" t="n"/>
      <c r="BR97" s="33">
        <f>SUM(BL97:BQ97)</f>
        <v/>
      </c>
      <c r="BT97" s="36">
        <f>SUMPRODUCT(($AW$5:$BQ$5="CO1")*AW97:BQ97)</f>
        <v/>
      </c>
      <c r="BU97" s="33">
        <f>SUMPRODUCT(($E$5:$BJ$5="CO2")*(ISNUMBER(L97:BQ97))*(L97:BQ97&gt;0), L97:BQ97)</f>
        <v/>
      </c>
      <c r="BV97" s="37">
        <f>SUMPRODUCT(($AW$5:$BR$5="CO3")*AW97:BR97)</f>
        <v/>
      </c>
      <c r="BW97" s="37">
        <f>SUMPRODUCT(($AW$5:$BR$5="CO4")*AW97:BR97)</f>
        <v/>
      </c>
      <c r="BX97" s="33">
        <f>SUMPRODUCT(($E$5:$BJ$5="CO5")*(ISNUMBER(L97:BQ97))*(L97:BQ97&gt;0), L97:BQ97)</f>
        <v/>
      </c>
      <c r="BY97" s="33">
        <f>SUMPRODUCT(($E$5:$BJ$5="CO6")*(ISNUMBER(L97:BQ97))*(L97:BQ97&gt;0), L97:BQ97)</f>
        <v/>
      </c>
      <c r="BZ97" s="33">
        <f>SUM(BT97:BY97)</f>
        <v/>
      </c>
      <c r="CB97" s="38" t="n"/>
      <c r="CC97" s="38" t="n"/>
      <c r="CD97" s="38" t="n"/>
      <c r="CE97" s="38" t="n"/>
      <c r="CF97" s="38" t="n"/>
      <c r="CG97" s="38" t="n"/>
    </row>
    <row r="98" ht="15.5" customHeight="1">
      <c r="A98" s="43" t="n">
        <v>91</v>
      </c>
      <c r="B98" s="43" t="n"/>
      <c r="C98" s="43" t="n"/>
      <c r="D98" s="7" t="n"/>
      <c r="L98" s="7" t="n"/>
      <c r="N98" s="7" t="n"/>
      <c r="O98" s="7" t="n"/>
      <c r="P98" s="7" t="n"/>
      <c r="Y98" s="24" t="n"/>
      <c r="AH98" s="7" t="n"/>
      <c r="AJ98" s="7" t="n"/>
      <c r="AK98" s="7" t="n"/>
      <c r="AL98" s="7" t="n"/>
      <c r="AU98" s="31">
        <f>SUM(AA98:AL98)+(IF(AM98&lt;&gt;"",AM98,AN98))+(IF(AO98&lt;&gt;"",AO98,AP98))+(IF(AQ98&lt;&gt;"",AQ98,AR98))+(IF(AS98&lt;&gt;"",AS98,AT98))</f>
        <v/>
      </c>
      <c r="BD98" s="5" t="n"/>
      <c r="BE98" s="5" t="n"/>
      <c r="BF98" s="5" t="n"/>
      <c r="BG98" s="5" t="n"/>
      <c r="BH98" s="5" t="n"/>
      <c r="BI98" s="5" t="n"/>
      <c r="BJ98" s="25">
        <f>SUM(BD98:BI98)</f>
        <v/>
      </c>
      <c r="BL98" s="5" t="n"/>
      <c r="BM98" s="5" t="n"/>
      <c r="BN98" s="5" t="n"/>
      <c r="BO98" s="5" t="n"/>
      <c r="BP98" s="5" t="n"/>
      <c r="BQ98" s="5" t="n"/>
      <c r="BR98" s="33">
        <f>SUM(BL98:BQ98)</f>
        <v/>
      </c>
      <c r="BT98" s="36">
        <f>SUMPRODUCT(($AW$5:$BQ$5="CO1")*AW98:BQ98)</f>
        <v/>
      </c>
      <c r="BU98" s="33">
        <f>SUMPRODUCT(($E$5:$BJ$5="CO2")*(ISNUMBER(L98:BQ98))*(L98:BQ98&gt;0), L98:BQ98)</f>
        <v/>
      </c>
      <c r="BV98" s="37">
        <f>SUMPRODUCT(($AW$5:$BR$5="CO3")*AW98:BR98)</f>
        <v/>
      </c>
      <c r="BW98" s="37">
        <f>SUMPRODUCT(($AW$5:$BR$5="CO4")*AW98:BR98)</f>
        <v/>
      </c>
      <c r="BX98" s="33">
        <f>SUMPRODUCT(($E$5:$BJ$5="CO5")*(ISNUMBER(L98:BQ98))*(L98:BQ98&gt;0), L98:BQ98)</f>
        <v/>
      </c>
      <c r="BY98" s="33">
        <f>SUMPRODUCT(($E$5:$BJ$5="CO6")*(ISNUMBER(L98:BQ98))*(L98:BQ98&gt;0), L98:BQ98)</f>
        <v/>
      </c>
      <c r="BZ98" s="33">
        <f>SUM(BT98:BY98)</f>
        <v/>
      </c>
      <c r="CB98" s="38" t="n"/>
      <c r="CC98" s="38" t="n"/>
      <c r="CD98" s="38" t="n"/>
      <c r="CE98" s="38" t="n"/>
      <c r="CF98" s="38" t="n"/>
      <c r="CG98" s="38" t="n"/>
    </row>
    <row r="99" ht="15.5" customHeight="1">
      <c r="A99" s="43" t="n">
        <v>92</v>
      </c>
      <c r="B99" s="43" t="n"/>
      <c r="C99" s="43" t="n"/>
      <c r="D99" s="7" t="n"/>
      <c r="L99" s="7" t="n"/>
      <c r="N99" s="7" t="n"/>
      <c r="O99" s="7" t="n"/>
      <c r="P99" s="7" t="n"/>
      <c r="Y99" s="24" t="n"/>
      <c r="AH99" s="7" t="n"/>
      <c r="AJ99" s="7" t="n"/>
      <c r="AK99" s="7" t="n"/>
      <c r="AL99" s="7" t="n"/>
      <c r="AU99" s="31">
        <f>SUM(AA99:AL99)+(IF(AM99&lt;&gt;"",AM99,AN99))+(IF(AO99&lt;&gt;"",AO99,AP99))+(IF(AQ99&lt;&gt;"",AQ99,AR99))+(IF(AS99&lt;&gt;"",AS99,AT99))</f>
        <v/>
      </c>
      <c r="BD99" s="5" t="n"/>
      <c r="BE99" s="5" t="n"/>
      <c r="BF99" s="5" t="n"/>
      <c r="BG99" s="5" t="n"/>
      <c r="BH99" s="5" t="n"/>
      <c r="BI99" s="5" t="n"/>
      <c r="BJ99" s="25">
        <f>SUM(BD99:BI99)</f>
        <v/>
      </c>
      <c r="BL99" s="5" t="n"/>
      <c r="BM99" s="5" t="n"/>
      <c r="BN99" s="5" t="n"/>
      <c r="BO99" s="5" t="n"/>
      <c r="BP99" s="5" t="n"/>
      <c r="BQ99" s="5" t="n"/>
      <c r="BR99" s="33">
        <f>SUM(BL99:BQ99)</f>
        <v/>
      </c>
      <c r="BT99" s="36">
        <f>SUMPRODUCT(($AW$5:$BQ$5="CO1")*AW99:BQ99)</f>
        <v/>
      </c>
      <c r="BU99" s="33">
        <f>SUMPRODUCT(($E$5:$BJ$5="CO2")*(ISNUMBER(L99:BQ99))*(L99:BQ99&gt;0), L99:BQ99)</f>
        <v/>
      </c>
      <c r="BV99" s="37">
        <f>SUMPRODUCT(($AW$5:$BR$5="CO3")*AW99:BR99)</f>
        <v/>
      </c>
      <c r="BW99" s="37">
        <f>SUMPRODUCT(($AW$5:$BR$5="CO4")*AW99:BR99)</f>
        <v/>
      </c>
      <c r="BX99" s="33">
        <f>SUMPRODUCT(($E$5:$BJ$5="CO5")*(ISNUMBER(L99:BQ99))*(L99:BQ99&gt;0), L99:BQ99)</f>
        <v/>
      </c>
      <c r="BY99" s="33">
        <f>SUMPRODUCT(($E$5:$BJ$5="CO6")*(ISNUMBER(L99:BQ99))*(L99:BQ99&gt;0), L99:BQ99)</f>
        <v/>
      </c>
      <c r="BZ99" s="33">
        <f>SUM(BT99:BY99)</f>
        <v/>
      </c>
      <c r="CB99" s="38" t="n"/>
      <c r="CC99" s="38" t="n"/>
      <c r="CD99" s="38" t="n"/>
      <c r="CE99" s="38" t="n"/>
      <c r="CF99" s="38" t="n"/>
      <c r="CG99" s="38" t="n"/>
    </row>
    <row r="100" ht="15.5" customHeight="1">
      <c r="A100" s="43" t="n">
        <v>93</v>
      </c>
      <c r="B100" s="43" t="n"/>
      <c r="C100" s="43" t="n"/>
      <c r="D100" s="7" t="n"/>
      <c r="L100" s="7" t="n"/>
      <c r="N100" s="7" t="n"/>
      <c r="O100" s="7" t="n"/>
      <c r="P100" s="7" t="n"/>
      <c r="Y100" s="24" t="n"/>
      <c r="AH100" s="7" t="n"/>
      <c r="AJ100" s="7" t="n"/>
      <c r="AK100" s="7" t="n"/>
      <c r="AL100" s="7" t="n"/>
      <c r="AU100" s="31">
        <f>SUM(AA100:AL100)+(IF(AM100&lt;&gt;"",AM100,AN100))+(IF(AO100&lt;&gt;"",AO100,AP100))+(IF(AQ100&lt;&gt;"",AQ100,AR100))+(IF(AS100&lt;&gt;"",AS100,AT100))</f>
        <v/>
      </c>
      <c r="BD100" s="5" t="n"/>
      <c r="BE100" s="5" t="n"/>
      <c r="BF100" s="5" t="n"/>
      <c r="BG100" s="5" t="n"/>
      <c r="BH100" s="5" t="n"/>
      <c r="BI100" s="5" t="n"/>
      <c r="BJ100" s="25">
        <f>SUM(BD100:BI100)</f>
        <v/>
      </c>
      <c r="BL100" s="5" t="n"/>
      <c r="BM100" s="5" t="n"/>
      <c r="BN100" s="5" t="n"/>
      <c r="BO100" s="5" t="n"/>
      <c r="BP100" s="5" t="n"/>
      <c r="BQ100" s="5" t="n"/>
      <c r="BR100" s="33">
        <f>SUM(BL100:BQ100)</f>
        <v/>
      </c>
      <c r="BT100" s="36">
        <f>SUMPRODUCT(($AW$5:$BQ$5="CO1")*AW100:BQ100)</f>
        <v/>
      </c>
      <c r="BU100" s="33">
        <f>SUMPRODUCT(($E$5:$BJ$5="CO2")*(ISNUMBER(L100:BQ100))*(L100:BQ100&gt;0), L100:BQ100)</f>
        <v/>
      </c>
      <c r="BV100" s="37">
        <f>SUMPRODUCT(($AW$5:$BR$5="CO3")*AW100:BR100)</f>
        <v/>
      </c>
      <c r="BW100" s="37">
        <f>SUMPRODUCT(($AW$5:$BR$5="CO4")*AW100:BR100)</f>
        <v/>
      </c>
      <c r="BX100" s="33">
        <f>SUMPRODUCT(($E$5:$BJ$5="CO5")*(ISNUMBER(L100:BQ100))*(L100:BQ100&gt;0), L100:BQ100)</f>
        <v/>
      </c>
      <c r="BY100" s="33">
        <f>SUMPRODUCT(($E$5:$BJ$5="CO6")*(ISNUMBER(L100:BQ100))*(L100:BQ100&gt;0), L100:BQ100)</f>
        <v/>
      </c>
      <c r="BZ100" s="33">
        <f>SUM(BT100:BY100)</f>
        <v/>
      </c>
      <c r="CB100" s="38" t="n"/>
      <c r="CC100" s="38" t="n"/>
      <c r="CD100" s="38" t="n"/>
      <c r="CE100" s="38" t="n"/>
      <c r="CF100" s="38" t="n"/>
      <c r="CG100" s="38" t="n"/>
    </row>
    <row r="101" ht="15.5" customHeight="1">
      <c r="A101" s="43" t="n">
        <v>94</v>
      </c>
      <c r="B101" s="43" t="n"/>
      <c r="C101" s="43" t="n"/>
      <c r="D101" s="7" t="n"/>
      <c r="L101" s="7" t="n"/>
      <c r="N101" s="7" t="n"/>
      <c r="O101" s="7" t="n"/>
      <c r="P101" s="7" t="n"/>
      <c r="Y101" s="24" t="n"/>
      <c r="AH101" s="7" t="n"/>
      <c r="AJ101" s="7" t="n"/>
      <c r="AK101" s="7" t="n"/>
      <c r="AL101" s="7" t="n"/>
      <c r="AU101" s="31">
        <f>SUM(AA101:AL101)+(IF(AM101&lt;&gt;"",AM101,AN101))+(IF(AO101&lt;&gt;"",AO101,AP101))+(IF(AQ101&lt;&gt;"",AQ101,AR101))+(IF(AS101&lt;&gt;"",AS101,AT101))</f>
        <v/>
      </c>
      <c r="BD101" s="5" t="n"/>
      <c r="BE101" s="5" t="n"/>
      <c r="BF101" s="5" t="n"/>
      <c r="BG101" s="5" t="n"/>
      <c r="BH101" s="5" t="n"/>
      <c r="BI101" s="5" t="n"/>
      <c r="BJ101" s="25">
        <f>SUM(BD101:BI101)</f>
        <v/>
      </c>
      <c r="BL101" s="5" t="n"/>
      <c r="BM101" s="5" t="n"/>
      <c r="BN101" s="5" t="n"/>
      <c r="BO101" s="5" t="n"/>
      <c r="BP101" s="5" t="n"/>
      <c r="BQ101" s="5" t="n"/>
      <c r="BR101" s="33">
        <f>SUM(BL101:BQ101)</f>
        <v/>
      </c>
      <c r="BT101" s="36">
        <f>SUMPRODUCT(($AW$5:$BQ$5="CO1")*AW101:BQ101)</f>
        <v/>
      </c>
      <c r="BU101" s="33">
        <f>SUMPRODUCT(($E$5:$BJ$5="CO2")*(ISNUMBER(L101:BQ101))*(L101:BQ101&gt;0), L101:BQ101)</f>
        <v/>
      </c>
      <c r="BV101" s="37">
        <f>SUMPRODUCT(($AW$5:$BR$5="CO3")*AW101:BR101)</f>
        <v/>
      </c>
      <c r="BW101" s="37">
        <f>SUMPRODUCT(($AW$5:$BR$5="CO4")*AW101:BR101)</f>
        <v/>
      </c>
      <c r="BX101" s="33">
        <f>SUMPRODUCT(($E$5:$BJ$5="CO5")*(ISNUMBER(L101:BQ101))*(L101:BQ101&gt;0), L101:BQ101)</f>
        <v/>
      </c>
      <c r="BY101" s="33">
        <f>SUMPRODUCT(($E$5:$BJ$5="CO6")*(ISNUMBER(L101:BQ101))*(L101:BQ101&gt;0), L101:BQ101)</f>
        <v/>
      </c>
      <c r="BZ101" s="33">
        <f>SUM(BT101:BY101)</f>
        <v/>
      </c>
      <c r="CB101" s="38" t="n"/>
      <c r="CC101" s="38" t="n"/>
      <c r="CD101" s="38" t="n"/>
      <c r="CE101" s="38" t="n"/>
      <c r="CF101" s="38" t="n"/>
      <c r="CG101" s="38" t="n"/>
    </row>
    <row r="102" ht="15.5" customHeight="1">
      <c r="A102" s="43" t="n">
        <v>95</v>
      </c>
      <c r="B102" s="43" t="n"/>
      <c r="C102" s="43" t="n"/>
      <c r="D102" s="7" t="n"/>
      <c r="L102" s="7" t="n"/>
      <c r="N102" s="7" t="n"/>
      <c r="O102" s="7" t="n"/>
      <c r="P102" s="7" t="n"/>
      <c r="Y102" s="24" t="n"/>
      <c r="AH102" s="7" t="n"/>
      <c r="AJ102" s="7" t="n"/>
      <c r="AK102" s="7" t="n"/>
      <c r="AL102" s="7" t="n"/>
      <c r="AU102" s="31">
        <f>SUM(AA102:AL102)+(IF(AM102&lt;&gt;"",AM102,AN102))+(IF(AO102&lt;&gt;"",AO102,AP102))+(IF(AQ102&lt;&gt;"",AQ102,AR102))+(IF(AS102&lt;&gt;"",AS102,AT102))</f>
        <v/>
      </c>
      <c r="BD102" s="5" t="n"/>
      <c r="BE102" s="5" t="n"/>
      <c r="BF102" s="5" t="n"/>
      <c r="BG102" s="5" t="n"/>
      <c r="BH102" s="5" t="n"/>
      <c r="BI102" s="5" t="n"/>
      <c r="BJ102" s="25">
        <f>SUM(BD102:BI102)</f>
        <v/>
      </c>
      <c r="BL102" s="5" t="n"/>
      <c r="BM102" s="5" t="n"/>
      <c r="BN102" s="5" t="n"/>
      <c r="BO102" s="5" t="n"/>
      <c r="BP102" s="5" t="n"/>
      <c r="BQ102" s="5" t="n"/>
      <c r="BR102" s="33">
        <f>SUM(BL102:BQ102)</f>
        <v/>
      </c>
      <c r="BT102" s="36">
        <f>SUMPRODUCT(($AW$5:$BQ$5="CO1")*AW102:BQ102)</f>
        <v/>
      </c>
      <c r="BU102" s="33">
        <f>SUMPRODUCT(($E$5:$BJ$5="CO2")*(ISNUMBER(L102:BQ102))*(L102:BQ102&gt;0), L102:BQ102)</f>
        <v/>
      </c>
      <c r="BV102" s="37">
        <f>SUMPRODUCT(($AW$5:$BR$5="CO3")*AW102:BR102)</f>
        <v/>
      </c>
      <c r="BW102" s="37">
        <f>SUMPRODUCT(($AW$5:$BR$5="CO4")*AW102:BR102)</f>
        <v/>
      </c>
      <c r="BX102" s="33">
        <f>SUMPRODUCT(($E$5:$BJ$5="CO5")*(ISNUMBER(L102:BQ102))*(L102:BQ102&gt;0), L102:BQ102)</f>
        <v/>
      </c>
      <c r="BY102" s="33">
        <f>SUMPRODUCT(($E$5:$BJ$5="CO6")*(ISNUMBER(L102:BQ102))*(L102:BQ102&gt;0), L102:BQ102)</f>
        <v/>
      </c>
      <c r="BZ102" s="33">
        <f>SUM(BT102:BY102)</f>
        <v/>
      </c>
      <c r="CB102" s="38" t="n"/>
      <c r="CC102" s="38" t="n"/>
      <c r="CD102" s="38" t="n"/>
      <c r="CE102" s="38" t="n"/>
      <c r="CF102" s="38" t="n"/>
      <c r="CG102" s="38" t="n"/>
    </row>
    <row r="103" ht="15.5" customHeight="1">
      <c r="A103" s="43" t="n">
        <v>96</v>
      </c>
      <c r="B103" s="43" t="n"/>
      <c r="C103" s="43" t="n"/>
      <c r="D103" s="7" t="n"/>
      <c r="L103" s="7" t="n"/>
      <c r="N103" s="7" t="n"/>
      <c r="O103" s="7" t="n"/>
      <c r="P103" s="7" t="n"/>
      <c r="Y103" s="24" t="n"/>
      <c r="AH103" s="7" t="n"/>
      <c r="AJ103" s="7" t="n"/>
      <c r="AK103" s="7" t="n"/>
      <c r="AL103" s="7" t="n"/>
      <c r="AU103" s="31">
        <f>SUM(AA103:AL103)+(IF(AM103&lt;&gt;"",AM103,AN103))+(IF(AO103&lt;&gt;"",AO103,AP103))+(IF(AQ103&lt;&gt;"",AQ103,AR103))+(IF(AS103&lt;&gt;"",AS103,AT103))</f>
        <v/>
      </c>
      <c r="BD103" s="5" t="n"/>
      <c r="BE103" s="5" t="n"/>
      <c r="BF103" s="5" t="n"/>
      <c r="BG103" s="5" t="n"/>
      <c r="BH103" s="5" t="n"/>
      <c r="BI103" s="5" t="n"/>
      <c r="BJ103" s="25">
        <f>SUM(BD103:BI103)</f>
        <v/>
      </c>
      <c r="BL103" s="5" t="n"/>
      <c r="BM103" s="5" t="n"/>
      <c r="BN103" s="5" t="n"/>
      <c r="BO103" s="5" t="n"/>
      <c r="BP103" s="5" t="n"/>
      <c r="BQ103" s="5" t="n"/>
      <c r="BR103" s="33">
        <f>SUM(BL103:BQ103)</f>
        <v/>
      </c>
      <c r="BT103" s="36">
        <f>SUMPRODUCT(($AW$5:$BQ$5="CO1")*AW103:BQ103)</f>
        <v/>
      </c>
      <c r="BU103" s="33">
        <f>SUMPRODUCT(($E$5:$BJ$5="CO2")*(ISNUMBER(L103:BQ103))*(L103:BQ103&gt;0), L103:BQ103)</f>
        <v/>
      </c>
      <c r="BV103" s="37">
        <f>SUMPRODUCT(($AW$5:$BR$5="CO3")*AW103:BR103)</f>
        <v/>
      </c>
      <c r="BW103" s="37">
        <f>SUMPRODUCT(($AW$5:$BR$5="CO4")*AW103:BR103)</f>
        <v/>
      </c>
      <c r="BX103" s="33">
        <f>SUMPRODUCT(($E$5:$BJ$5="CO5")*(ISNUMBER(L103:BQ103))*(L103:BQ103&gt;0), L103:BQ103)</f>
        <v/>
      </c>
      <c r="BY103" s="33">
        <f>SUMPRODUCT(($E$5:$BJ$5="CO6")*(ISNUMBER(L103:BQ103))*(L103:BQ103&gt;0), L103:BQ103)</f>
        <v/>
      </c>
      <c r="BZ103" s="33">
        <f>SUM(BT103:BY103)</f>
        <v/>
      </c>
      <c r="CB103" s="38" t="n"/>
      <c r="CC103" s="38" t="n"/>
      <c r="CD103" s="38" t="n"/>
      <c r="CE103" s="38" t="n"/>
      <c r="CF103" s="38" t="n"/>
      <c r="CG103" s="38" t="n"/>
    </row>
    <row r="104" ht="15.5" customHeight="1">
      <c r="A104" s="43" t="n">
        <v>97</v>
      </c>
      <c r="B104" s="43" t="n"/>
      <c r="C104" s="43" t="n"/>
      <c r="D104" s="7" t="n"/>
      <c r="L104" s="7" t="n"/>
      <c r="N104" s="7" t="n"/>
      <c r="O104" s="7" t="n"/>
      <c r="P104" s="7" t="n"/>
      <c r="Y104" s="24" t="n"/>
      <c r="AH104" s="7" t="n"/>
      <c r="AJ104" s="7" t="n"/>
      <c r="AK104" s="7" t="n"/>
      <c r="AL104" s="7" t="n"/>
      <c r="AU104" s="31">
        <f>SUM(AA104:AL104)+(IF(AM104&lt;&gt;"",AM104,AN104))+(IF(AO104&lt;&gt;"",AO104,AP104))+(IF(AQ104&lt;&gt;"",AQ104,AR104))+(IF(AS104&lt;&gt;"",AS104,AT104))</f>
        <v/>
      </c>
      <c r="BD104" s="5" t="n"/>
      <c r="BE104" s="5" t="n"/>
      <c r="BF104" s="5" t="n"/>
      <c r="BG104" s="5" t="n"/>
      <c r="BH104" s="5" t="n"/>
      <c r="BI104" s="5" t="n"/>
      <c r="BJ104" s="25">
        <f>SUM(BD104:BI104)</f>
        <v/>
      </c>
      <c r="BL104" s="5" t="n"/>
      <c r="BM104" s="5" t="n"/>
      <c r="BN104" s="5" t="n"/>
      <c r="BO104" s="5" t="n"/>
      <c r="BP104" s="5" t="n"/>
      <c r="BQ104" s="5" t="n"/>
      <c r="BR104" s="33">
        <f>SUM(BL104:BQ104)</f>
        <v/>
      </c>
      <c r="BT104" s="36">
        <f>SUMPRODUCT(($AW$5:$BQ$5="CO1")*AW104:BQ104)</f>
        <v/>
      </c>
      <c r="BU104" s="33">
        <f>SUMPRODUCT(($E$5:$BJ$5="CO2")*(ISNUMBER(L104:BQ104))*(L104:BQ104&gt;0), L104:BQ104)</f>
        <v/>
      </c>
      <c r="BV104" s="37">
        <f>SUMPRODUCT(($AW$5:$BR$5="CO3")*AW104:BR104)</f>
        <v/>
      </c>
      <c r="BW104" s="37">
        <f>SUMPRODUCT(($AW$5:$BR$5="CO4")*AW104:BR104)</f>
        <v/>
      </c>
      <c r="BX104" s="33">
        <f>SUMPRODUCT(($E$5:$BJ$5="CO5")*(ISNUMBER(L104:BQ104))*(L104:BQ104&gt;0), L104:BQ104)</f>
        <v/>
      </c>
      <c r="BY104" s="33">
        <f>SUMPRODUCT(($E$5:$BJ$5="CO6")*(ISNUMBER(L104:BQ104))*(L104:BQ104&gt;0), L104:BQ104)</f>
        <v/>
      </c>
      <c r="BZ104" s="33">
        <f>SUM(BT104:BY104)</f>
        <v/>
      </c>
      <c r="CB104" s="38" t="n"/>
      <c r="CC104" s="38" t="n"/>
      <c r="CD104" s="38" t="n"/>
      <c r="CE104" s="38" t="n"/>
      <c r="CF104" s="38" t="n"/>
      <c r="CG104" s="38" t="n"/>
    </row>
    <row r="105" ht="15.5" customHeight="1">
      <c r="A105" s="43" t="n">
        <v>98</v>
      </c>
      <c r="B105" s="43" t="n"/>
      <c r="C105" s="43" t="n"/>
      <c r="D105" s="7" t="n"/>
      <c r="L105" s="7" t="n"/>
      <c r="N105" s="7" t="n"/>
      <c r="O105" s="7" t="n"/>
      <c r="P105" s="7" t="n"/>
      <c r="Y105" s="24" t="n"/>
      <c r="AH105" s="7" t="n"/>
      <c r="AJ105" s="7" t="n"/>
      <c r="AK105" s="7" t="n"/>
      <c r="AL105" s="7" t="n"/>
      <c r="AU105" s="31">
        <f>SUM(AA105:AL105)+(IF(AM105&lt;&gt;"",AM105,AN105))+(IF(AO105&lt;&gt;"",AO105,AP105))+(IF(AQ105&lt;&gt;"",AQ105,AR105))+(IF(AS105&lt;&gt;"",AS105,AT105))</f>
        <v/>
      </c>
      <c r="BD105" s="5" t="n"/>
      <c r="BE105" s="5" t="n"/>
      <c r="BF105" s="5" t="n"/>
      <c r="BG105" s="5" t="n"/>
      <c r="BH105" s="5" t="n"/>
      <c r="BI105" s="5" t="n"/>
      <c r="BJ105" s="25">
        <f>SUM(BD105:BI105)</f>
        <v/>
      </c>
      <c r="BL105" s="5" t="n"/>
      <c r="BM105" s="5" t="n"/>
      <c r="BN105" s="5" t="n"/>
      <c r="BO105" s="5" t="n"/>
      <c r="BP105" s="5" t="n"/>
      <c r="BQ105" s="5" t="n"/>
      <c r="BR105" s="33">
        <f>SUM(BL105:BQ105)</f>
        <v/>
      </c>
      <c r="BT105" s="36">
        <f>SUMPRODUCT(($AW$5:$BQ$5="CO1")*AW105:BQ105)</f>
        <v/>
      </c>
      <c r="BU105" s="33">
        <f>SUMPRODUCT(($E$5:$BJ$5="CO2")*(ISNUMBER(L105:BQ105))*(L105:BQ105&gt;0), L105:BQ105)</f>
        <v/>
      </c>
      <c r="BV105" s="37">
        <f>SUMPRODUCT(($AW$5:$BR$5="CO3")*AW105:BR105)</f>
        <v/>
      </c>
      <c r="BW105" s="37">
        <f>SUMPRODUCT(($AW$5:$BR$5="CO4")*AW105:BR105)</f>
        <v/>
      </c>
      <c r="BX105" s="33">
        <f>SUMPRODUCT(($E$5:$BJ$5="CO5")*(ISNUMBER(L105:BQ105))*(L105:BQ105&gt;0), L105:BQ105)</f>
        <v/>
      </c>
      <c r="BY105" s="33">
        <f>SUMPRODUCT(($E$5:$BJ$5="CO6")*(ISNUMBER(L105:BQ105))*(L105:BQ105&gt;0), L105:BQ105)</f>
        <v/>
      </c>
      <c r="BZ105" s="33">
        <f>SUM(BT105:BY105)</f>
        <v/>
      </c>
      <c r="CB105" s="38" t="n"/>
      <c r="CC105" s="38" t="n"/>
      <c r="CD105" s="38" t="n"/>
      <c r="CE105" s="38" t="n"/>
      <c r="CF105" s="38" t="n"/>
      <c r="CG105" s="38" t="n"/>
    </row>
    <row r="106" ht="15.5" customHeight="1">
      <c r="A106" s="43" t="n">
        <v>99</v>
      </c>
      <c r="B106" s="43" t="n"/>
      <c r="C106" s="43" t="n"/>
      <c r="D106" s="7" t="n"/>
      <c r="L106" s="7" t="n"/>
      <c r="N106" s="7" t="n"/>
      <c r="O106" s="7" t="n"/>
      <c r="P106" s="7" t="n"/>
      <c r="Y106" s="24" t="n"/>
      <c r="AH106" s="7" t="n"/>
      <c r="AJ106" s="7" t="n"/>
      <c r="AK106" s="7" t="n"/>
      <c r="AL106" s="7" t="n"/>
      <c r="AU106" s="31">
        <f>SUM(AA106:AL106)+(IF(AM106&lt;&gt;"",AM106,AN106))+(IF(AO106&lt;&gt;"",AO106,AP106))+(IF(AQ106&lt;&gt;"",AQ106,AR106))+(IF(AS106&lt;&gt;"",AS106,AT106))</f>
        <v/>
      </c>
      <c r="BD106" s="5" t="n"/>
      <c r="BE106" s="5" t="n"/>
      <c r="BF106" s="5" t="n"/>
      <c r="BG106" s="5" t="n"/>
      <c r="BH106" s="5" t="n"/>
      <c r="BI106" s="5" t="n"/>
      <c r="BJ106" s="25">
        <f>SUM(BD106:BI106)</f>
        <v/>
      </c>
      <c r="BL106" s="5" t="n"/>
      <c r="BM106" s="5" t="n"/>
      <c r="BN106" s="5" t="n"/>
      <c r="BO106" s="5" t="n"/>
      <c r="BP106" s="5" t="n"/>
      <c r="BQ106" s="5" t="n"/>
      <c r="BR106" s="33">
        <f>SUM(BL106:BQ106)</f>
        <v/>
      </c>
      <c r="BT106" s="36">
        <f>SUMPRODUCT(($AW$5:$BQ$5="CO1")*AW106:BQ106)</f>
        <v/>
      </c>
      <c r="BU106" s="33">
        <f>SUMPRODUCT(($E$5:$BJ$5="CO2")*(ISNUMBER(L106:BQ106))*(L106:BQ106&gt;0), L106:BQ106)</f>
        <v/>
      </c>
      <c r="BV106" s="37">
        <f>SUMPRODUCT(($AW$5:$BR$5="CO3")*AW106:BR106)</f>
        <v/>
      </c>
      <c r="BW106" s="37">
        <f>SUMPRODUCT(($AW$5:$BR$5="CO4")*AW106:BR106)</f>
        <v/>
      </c>
      <c r="BX106" s="33">
        <f>SUMPRODUCT(($E$5:$BJ$5="CO5")*(ISNUMBER(L106:BQ106))*(L106:BQ106&gt;0), L106:BQ106)</f>
        <v/>
      </c>
      <c r="BY106" s="33">
        <f>SUMPRODUCT(($E$5:$BJ$5="CO6")*(ISNUMBER(L106:BQ106))*(L106:BQ106&gt;0), L106:BQ106)</f>
        <v/>
      </c>
      <c r="BZ106" s="33">
        <f>SUM(BT106:BY106)</f>
        <v/>
      </c>
      <c r="CB106" s="38" t="n"/>
      <c r="CC106" s="38" t="n"/>
      <c r="CD106" s="38" t="n"/>
      <c r="CE106" s="38" t="n"/>
      <c r="CF106" s="38" t="n"/>
      <c r="CG106" s="38" t="n"/>
    </row>
    <row r="107" ht="15.5" customHeight="1">
      <c r="A107" s="43" t="n">
        <v>100</v>
      </c>
      <c r="B107" s="43" t="n"/>
      <c r="C107" s="43" t="n"/>
      <c r="D107" s="7" t="n"/>
      <c r="L107" s="7" t="n"/>
      <c r="N107" s="7" t="n"/>
      <c r="O107" s="7" t="n"/>
      <c r="P107" s="7" t="n"/>
      <c r="Y107" s="24" t="n"/>
      <c r="AH107" s="7" t="n"/>
      <c r="AJ107" s="7" t="n"/>
      <c r="AK107" s="7" t="n"/>
      <c r="AL107" s="7" t="n"/>
      <c r="AU107" s="31">
        <f>SUM(AA107:AL107)+(IF(AM107&lt;&gt;"",AM107,AN107))+(IF(AO107&lt;&gt;"",AO107,AP107))+(IF(AQ107&lt;&gt;"",AQ107,AR107))+(IF(AS107&lt;&gt;"",AS107,AT107))</f>
        <v/>
      </c>
      <c r="BD107" s="5" t="n"/>
      <c r="BE107" s="5" t="n"/>
      <c r="BF107" s="5" t="n"/>
      <c r="BG107" s="5" t="n"/>
      <c r="BH107" s="5" t="n"/>
      <c r="BI107" s="5" t="n"/>
      <c r="BJ107" s="25">
        <f>SUM(BD107:BI107)</f>
        <v/>
      </c>
      <c r="BL107" s="5" t="n"/>
      <c r="BM107" s="5" t="n"/>
      <c r="BN107" s="5" t="n"/>
      <c r="BO107" s="5" t="n"/>
      <c r="BP107" s="5" t="n"/>
      <c r="BQ107" s="5" t="n"/>
      <c r="BR107" s="33">
        <f>SUM(BL107:BQ107)</f>
        <v/>
      </c>
      <c r="BT107" s="36">
        <f>SUMPRODUCT(($AW$5:$BQ$5="CO1")*AW107:BQ107)</f>
        <v/>
      </c>
      <c r="BU107" s="33">
        <f>SUMPRODUCT(($E$5:$BJ$5="CO2")*(ISNUMBER(L107:BQ107))*(L107:BQ107&gt;0), L107:BQ107)</f>
        <v/>
      </c>
      <c r="BV107" s="37">
        <f>SUMPRODUCT(($AW$5:$BR$5="CO3")*AW107:BR107)</f>
        <v/>
      </c>
      <c r="BW107" s="37">
        <f>SUMPRODUCT(($AW$5:$BR$5="CO4")*AW107:BR107)</f>
        <v/>
      </c>
      <c r="BX107" s="33">
        <f>SUMPRODUCT(($E$5:$BJ$5="CO5")*(ISNUMBER(L107:BQ107))*(L107:BQ107&gt;0), L107:BQ107)</f>
        <v/>
      </c>
      <c r="BY107" s="33">
        <f>SUMPRODUCT(($E$5:$BJ$5="CO6")*(ISNUMBER(L107:BQ107))*(L107:BQ107&gt;0), L107:BQ107)</f>
        <v/>
      </c>
      <c r="BZ107" s="33">
        <f>SUM(BT107:BY107)</f>
        <v/>
      </c>
      <c r="CB107" s="38" t="n"/>
      <c r="CC107" s="38" t="n"/>
      <c r="CD107" s="38" t="n"/>
      <c r="CE107" s="38" t="n"/>
      <c r="CF107" s="38" t="n"/>
      <c r="CG107" s="38" t="n"/>
    </row>
    <row r="108" ht="15.5" customHeight="1">
      <c r="A108" s="43" t="n">
        <v>101</v>
      </c>
      <c r="B108" s="43" t="n"/>
      <c r="C108" s="43" t="n"/>
      <c r="D108" s="7" t="n"/>
      <c r="L108" s="7" t="n"/>
      <c r="N108" s="7" t="n"/>
      <c r="O108" s="7" t="n"/>
      <c r="P108" s="7" t="n"/>
      <c r="Y108" s="24" t="n"/>
      <c r="AH108" s="7" t="n"/>
      <c r="AJ108" s="7" t="n"/>
      <c r="AK108" s="7" t="n"/>
      <c r="AL108" s="7" t="n"/>
      <c r="AU108" s="31">
        <f>SUM(AA108:AL108)+(IF(AM108&lt;&gt;"",AM108,AN108))+(IF(AO108&lt;&gt;"",AO108,AP108))+(IF(AQ108&lt;&gt;"",AQ108,AR108))+(IF(AS108&lt;&gt;"",AS108,AT108))</f>
        <v/>
      </c>
      <c r="BD108" s="5" t="n"/>
      <c r="BE108" s="5" t="n"/>
      <c r="BF108" s="5" t="n"/>
      <c r="BG108" s="5" t="n"/>
      <c r="BH108" s="5" t="n"/>
      <c r="BI108" s="5" t="n"/>
      <c r="BJ108" s="25">
        <f>SUM(BD108:BI108)</f>
        <v/>
      </c>
      <c r="BL108" s="5" t="n"/>
      <c r="BM108" s="5" t="n"/>
      <c r="BN108" s="5" t="n"/>
      <c r="BO108" s="5" t="n"/>
      <c r="BP108" s="5" t="n"/>
      <c r="BQ108" s="5" t="n"/>
      <c r="BR108" s="33">
        <f>SUM(BL108:BQ108)</f>
        <v/>
      </c>
      <c r="BT108" s="36">
        <f>SUMPRODUCT(($AW$5:$BQ$5="CO1")*AW108:BQ108)</f>
        <v/>
      </c>
      <c r="BU108" s="33">
        <f>SUMPRODUCT(($E$5:$BJ$5="CO2")*(ISNUMBER(L108:BQ108))*(L108:BQ108&gt;0), L108:BQ108)</f>
        <v/>
      </c>
      <c r="BV108" s="37">
        <f>SUMPRODUCT(($AW$5:$BR$5="CO3")*AW108:BR108)</f>
        <v/>
      </c>
      <c r="BW108" s="37">
        <f>SUMPRODUCT(($AW$5:$BR$5="CO4")*AW108:BR108)</f>
        <v/>
      </c>
      <c r="BX108" s="33">
        <f>SUMPRODUCT(($E$5:$BJ$5="CO5")*(ISNUMBER(L108:BQ108))*(L108:BQ108&gt;0), L108:BQ108)</f>
        <v/>
      </c>
      <c r="BY108" s="33">
        <f>SUMPRODUCT(($E$5:$BJ$5="CO6")*(ISNUMBER(L108:BQ108))*(L108:BQ108&gt;0), L108:BQ108)</f>
        <v/>
      </c>
      <c r="BZ108" s="33">
        <f>SUM(BT108:BY108)</f>
        <v/>
      </c>
      <c r="CB108" s="38" t="n"/>
      <c r="CC108" s="38" t="n"/>
      <c r="CD108" s="38" t="n"/>
      <c r="CE108" s="38" t="n"/>
      <c r="CF108" s="38" t="n"/>
      <c r="CG108" s="38" t="n"/>
    </row>
    <row r="109" ht="15.5" customHeight="1">
      <c r="A109" s="43" t="n">
        <v>102</v>
      </c>
      <c r="B109" s="43" t="n"/>
      <c r="C109" s="43" t="n"/>
      <c r="D109" s="7" t="n"/>
      <c r="L109" s="7" t="n"/>
      <c r="N109" s="7" t="n"/>
      <c r="O109" s="7" t="n"/>
      <c r="P109" s="7" t="n"/>
      <c r="Y109" s="24" t="n"/>
      <c r="AH109" s="7" t="n"/>
      <c r="AJ109" s="7" t="n"/>
      <c r="AK109" s="7" t="n"/>
      <c r="AL109" s="7" t="n"/>
      <c r="AU109" s="31">
        <f>SUM(AA109:AL109)+(IF(AM109&lt;&gt;"",AM109,AN109))+(IF(AO109&lt;&gt;"",AO109,AP109))+(IF(AQ109&lt;&gt;"",AQ109,AR109))+(IF(AS109&lt;&gt;"",AS109,AT109))</f>
        <v/>
      </c>
      <c r="BD109" s="5" t="n"/>
      <c r="BE109" s="5" t="n"/>
      <c r="BF109" s="5" t="n"/>
      <c r="BG109" s="5" t="n"/>
      <c r="BH109" s="5" t="n"/>
      <c r="BI109" s="5" t="n"/>
      <c r="BJ109" s="25">
        <f>SUM(BD109:BI109)</f>
        <v/>
      </c>
      <c r="BL109" s="5" t="n"/>
      <c r="BM109" s="5" t="n"/>
      <c r="BN109" s="5" t="n"/>
      <c r="BO109" s="5" t="n"/>
      <c r="BP109" s="5" t="n"/>
      <c r="BQ109" s="5" t="n"/>
      <c r="BR109" s="33">
        <f>SUM(BL109:BQ109)</f>
        <v/>
      </c>
      <c r="BT109" s="36">
        <f>SUMPRODUCT(($AW$5:$BQ$5="CO1")*AW109:BQ109)</f>
        <v/>
      </c>
      <c r="BU109" s="33">
        <f>SUMPRODUCT(($E$5:$BJ$5="CO2")*(ISNUMBER(L109:BQ109))*(L109:BQ109&gt;0), L109:BQ109)</f>
        <v/>
      </c>
      <c r="BV109" s="37">
        <f>SUMPRODUCT(($AW$5:$BR$5="CO3")*AW109:BR109)</f>
        <v/>
      </c>
      <c r="BW109" s="37">
        <f>SUMPRODUCT(($AW$5:$BR$5="CO4")*AW109:BR109)</f>
        <v/>
      </c>
      <c r="BX109" s="33">
        <f>SUMPRODUCT(($E$5:$BJ$5="CO5")*(ISNUMBER(L109:BQ109))*(L109:BQ109&gt;0), L109:BQ109)</f>
        <v/>
      </c>
      <c r="BY109" s="33">
        <f>SUMPRODUCT(($E$5:$BJ$5="CO6")*(ISNUMBER(L109:BQ109))*(L109:BQ109&gt;0), L109:BQ109)</f>
        <v/>
      </c>
      <c r="BZ109" s="33">
        <f>SUM(BT109:BY109)</f>
        <v/>
      </c>
      <c r="CB109" s="38" t="n"/>
      <c r="CC109" s="38" t="n"/>
      <c r="CD109" s="38" t="n"/>
      <c r="CE109" s="38" t="n"/>
      <c r="CF109" s="38" t="n"/>
      <c r="CG109" s="38" t="n"/>
    </row>
    <row r="110" ht="15.5" customHeight="1">
      <c r="A110" s="43" t="n">
        <v>103</v>
      </c>
      <c r="B110" s="43" t="n"/>
      <c r="C110" s="43" t="n"/>
      <c r="D110" s="7" t="n"/>
      <c r="L110" s="7" t="n"/>
      <c r="N110" s="7" t="n"/>
      <c r="O110" s="7" t="n"/>
      <c r="P110" s="7" t="n"/>
      <c r="Y110" s="24" t="n"/>
      <c r="AH110" s="7" t="n"/>
      <c r="AJ110" s="7" t="n"/>
      <c r="AK110" s="7" t="n"/>
      <c r="AL110" s="7" t="n"/>
      <c r="AU110" s="31">
        <f>SUM(AA110:AL110)+(IF(AM110&lt;&gt;"",AM110,AN110))+(IF(AO110&lt;&gt;"",AO110,AP110))+(IF(AQ110&lt;&gt;"",AQ110,AR110))+(IF(AS110&lt;&gt;"",AS110,AT110))</f>
        <v/>
      </c>
      <c r="BD110" s="5" t="n"/>
      <c r="BE110" s="5" t="n"/>
      <c r="BF110" s="5" t="n"/>
      <c r="BG110" s="5" t="n"/>
      <c r="BH110" s="5" t="n"/>
      <c r="BI110" s="5" t="n"/>
      <c r="BJ110" s="25">
        <f>SUM(BD110:BI110)</f>
        <v/>
      </c>
      <c r="BL110" s="5" t="n"/>
      <c r="BM110" s="5" t="n"/>
      <c r="BN110" s="5" t="n"/>
      <c r="BO110" s="5" t="n"/>
      <c r="BP110" s="5" t="n"/>
      <c r="BQ110" s="5" t="n"/>
      <c r="BR110" s="33">
        <f>SUM(BL110:BQ110)</f>
        <v/>
      </c>
      <c r="BT110" s="36">
        <f>SUMPRODUCT(($AW$5:$BQ$5="CO1")*AW110:BQ110)</f>
        <v/>
      </c>
      <c r="BU110" s="33">
        <f>SUMPRODUCT(($E$5:$BJ$5="CO2")*(ISNUMBER(L110:BQ110))*(L110:BQ110&gt;0), L110:BQ110)</f>
        <v/>
      </c>
      <c r="BV110" s="37">
        <f>SUMPRODUCT(($AW$5:$BR$5="CO3")*AW110:BR110)</f>
        <v/>
      </c>
      <c r="BW110" s="37">
        <f>SUMPRODUCT(($AW$5:$BR$5="CO4")*AW110:BR110)</f>
        <v/>
      </c>
      <c r="BX110" s="33">
        <f>SUMPRODUCT(($E$5:$BJ$5="CO5")*(ISNUMBER(L110:BQ110))*(L110:BQ110&gt;0), L110:BQ110)</f>
        <v/>
      </c>
      <c r="BY110" s="33">
        <f>SUMPRODUCT(($E$5:$BJ$5="CO6")*(ISNUMBER(L110:BQ110))*(L110:BQ110&gt;0), L110:BQ110)</f>
        <v/>
      </c>
      <c r="BZ110" s="33">
        <f>SUM(BT110:BY110)</f>
        <v/>
      </c>
      <c r="CB110" s="38" t="n"/>
      <c r="CC110" s="38" t="n"/>
      <c r="CD110" s="38" t="n"/>
      <c r="CE110" s="38" t="n"/>
      <c r="CF110" s="38" t="n"/>
      <c r="CG110" s="38" t="n"/>
    </row>
    <row r="111" ht="15.5" customHeight="1">
      <c r="A111" s="43" t="n">
        <v>104</v>
      </c>
      <c r="B111" s="43" t="n"/>
      <c r="C111" s="43" t="n"/>
      <c r="D111" s="7" t="n"/>
      <c r="L111" s="7" t="n"/>
      <c r="N111" s="7" t="n"/>
      <c r="O111" s="7" t="n"/>
      <c r="P111" s="7" t="n"/>
      <c r="Y111" s="24" t="n"/>
      <c r="AH111" s="7" t="n"/>
      <c r="AJ111" s="7" t="n"/>
      <c r="AK111" s="7" t="n"/>
      <c r="AL111" s="7" t="n"/>
      <c r="AU111" s="31">
        <f>SUM(AA111:AL111)+(IF(AM111&lt;&gt;"",AM111,AN111))+(IF(AO111&lt;&gt;"",AO111,AP111))+(IF(AQ111&lt;&gt;"",AQ111,AR111))+(IF(AS111&lt;&gt;"",AS111,AT111))</f>
        <v/>
      </c>
      <c r="BD111" s="5" t="n"/>
      <c r="BE111" s="5" t="n"/>
      <c r="BF111" s="5" t="n"/>
      <c r="BG111" s="5" t="n"/>
      <c r="BH111" s="5" t="n"/>
      <c r="BI111" s="5" t="n"/>
      <c r="BJ111" s="25">
        <f>SUM(BD111:BI111)</f>
        <v/>
      </c>
      <c r="BL111" s="5" t="n"/>
      <c r="BM111" s="5" t="n"/>
      <c r="BN111" s="5" t="n"/>
      <c r="BO111" s="5" t="n"/>
      <c r="BP111" s="5" t="n"/>
      <c r="BQ111" s="5" t="n"/>
      <c r="BR111" s="33">
        <f>SUM(BL111:BQ111)</f>
        <v/>
      </c>
      <c r="BT111" s="36">
        <f>SUMPRODUCT(($AW$5:$BQ$5="CO1")*AW111:BQ111)</f>
        <v/>
      </c>
      <c r="BU111" s="33">
        <f>SUMPRODUCT(($E$5:$BJ$5="CO2")*(ISNUMBER(L111:BQ111))*(L111:BQ111&gt;0), L111:BQ111)</f>
        <v/>
      </c>
      <c r="BV111" s="37">
        <f>SUMPRODUCT(($AW$5:$BR$5="CO3")*AW111:BR111)</f>
        <v/>
      </c>
      <c r="BW111" s="37">
        <f>SUMPRODUCT(($AW$5:$BR$5="CO4")*AW111:BR111)</f>
        <v/>
      </c>
      <c r="BX111" s="33">
        <f>SUMPRODUCT(($E$5:$BJ$5="CO5")*(ISNUMBER(L111:BQ111))*(L111:BQ111&gt;0), L111:BQ111)</f>
        <v/>
      </c>
      <c r="BY111" s="33">
        <f>SUMPRODUCT(($E$5:$BJ$5="CO6")*(ISNUMBER(L111:BQ111))*(L111:BQ111&gt;0), L111:BQ111)</f>
        <v/>
      </c>
      <c r="BZ111" s="33">
        <f>SUM(BT111:BY111)</f>
        <v/>
      </c>
      <c r="CB111" s="38" t="n"/>
      <c r="CC111" s="38" t="n"/>
      <c r="CD111" s="38" t="n"/>
      <c r="CE111" s="38" t="n"/>
      <c r="CF111" s="38" t="n"/>
      <c r="CG111" s="38" t="n"/>
    </row>
    <row r="112" ht="15.5" customHeight="1">
      <c r="A112" s="43" t="n">
        <v>105</v>
      </c>
      <c r="B112" s="43" t="n"/>
      <c r="C112" s="43" t="n"/>
      <c r="D112" s="7" t="n"/>
      <c r="L112" s="7" t="n"/>
      <c r="N112" s="7" t="n"/>
      <c r="O112" s="7" t="n"/>
      <c r="P112" s="7" t="n"/>
      <c r="Y112" s="24" t="n"/>
      <c r="AH112" s="7" t="n"/>
      <c r="AJ112" s="7" t="n"/>
      <c r="AK112" s="7" t="n"/>
      <c r="AL112" s="7" t="n"/>
      <c r="AU112" s="31">
        <f>SUM(AA112:AL112)+(IF(AM112&lt;&gt;"",AM112,AN112))+(IF(AO112&lt;&gt;"",AO112,AP112))+(IF(AQ112&lt;&gt;"",AQ112,AR112))+(IF(AS112&lt;&gt;"",AS112,AT112))</f>
        <v/>
      </c>
      <c r="BD112" s="5" t="n"/>
      <c r="BE112" s="5" t="n"/>
      <c r="BF112" s="5" t="n"/>
      <c r="BG112" s="5" t="n"/>
      <c r="BH112" s="5" t="n"/>
      <c r="BI112" s="5" t="n"/>
      <c r="BJ112" s="25">
        <f>SUM(BD112:BI112)</f>
        <v/>
      </c>
      <c r="BL112" s="5" t="n"/>
      <c r="BM112" s="5" t="n"/>
      <c r="BN112" s="5" t="n"/>
      <c r="BO112" s="5" t="n"/>
      <c r="BP112" s="5" t="n"/>
      <c r="BQ112" s="5" t="n"/>
      <c r="BR112" s="33">
        <f>SUM(BL112:BQ112)</f>
        <v/>
      </c>
      <c r="BT112" s="36">
        <f>SUMPRODUCT(($AW$5:$BQ$5="CO1")*AW112:BQ112)</f>
        <v/>
      </c>
      <c r="BU112" s="33">
        <f>SUMPRODUCT(($E$5:$BJ$5="CO2")*(ISNUMBER(L112:BQ112))*(L112:BQ112&gt;0), L112:BQ112)</f>
        <v/>
      </c>
      <c r="BV112" s="37">
        <f>SUMPRODUCT(($AW$5:$BR$5="CO3")*AW112:BR112)</f>
        <v/>
      </c>
      <c r="BW112" s="37">
        <f>SUMPRODUCT(($AW$5:$BR$5="CO4")*AW112:BR112)</f>
        <v/>
      </c>
      <c r="BX112" s="33">
        <f>SUMPRODUCT(($E$5:$BJ$5="CO5")*(ISNUMBER(L112:BQ112))*(L112:BQ112&gt;0), L112:BQ112)</f>
        <v/>
      </c>
      <c r="BY112" s="33">
        <f>SUMPRODUCT(($E$5:$BJ$5="CO6")*(ISNUMBER(L112:BQ112))*(L112:BQ112&gt;0), L112:BQ112)</f>
        <v/>
      </c>
      <c r="BZ112" s="33">
        <f>SUM(BT112:BY112)</f>
        <v/>
      </c>
      <c r="CB112" s="38" t="n"/>
      <c r="CC112" s="38" t="n"/>
      <c r="CD112" s="38" t="n"/>
      <c r="CE112" s="38" t="n"/>
      <c r="CF112" s="38" t="n"/>
      <c r="CG112" s="38" t="n"/>
    </row>
    <row r="113" ht="15.5" customHeight="1">
      <c r="A113" s="43" t="n">
        <v>106</v>
      </c>
      <c r="B113" s="43" t="n"/>
      <c r="C113" s="43" t="n"/>
      <c r="D113" s="7" t="n"/>
      <c r="L113" s="7" t="n"/>
      <c r="N113" s="7" t="n"/>
      <c r="O113" s="7" t="n"/>
      <c r="P113" s="7" t="n"/>
      <c r="Y113" s="24" t="n"/>
      <c r="AH113" s="7" t="n"/>
      <c r="AJ113" s="7" t="n"/>
      <c r="AK113" s="7" t="n"/>
      <c r="AL113" s="7" t="n"/>
      <c r="AU113" s="31">
        <f>SUM(AA113:AL113)+(IF(AM113&lt;&gt;"",AM113,AN113))+(IF(AO113&lt;&gt;"",AO113,AP113))+(IF(AQ113&lt;&gt;"",AQ113,AR113))+(IF(AS113&lt;&gt;"",AS113,AT113))</f>
        <v/>
      </c>
      <c r="BD113" s="5" t="n"/>
      <c r="BE113" s="5" t="n"/>
      <c r="BF113" s="5" t="n"/>
      <c r="BG113" s="5" t="n"/>
      <c r="BH113" s="5" t="n"/>
      <c r="BI113" s="5" t="n"/>
      <c r="BJ113" s="25">
        <f>SUM(BD113:BI113)</f>
        <v/>
      </c>
      <c r="BR113" s="33">
        <f>SUM(BL113:BQ113)</f>
        <v/>
      </c>
      <c r="BT113" s="36">
        <f>SUMPRODUCT(($AW$5:$BQ$5="CO1")*AW113:BQ113)</f>
        <v/>
      </c>
      <c r="BU113" s="33">
        <f>SUMPRODUCT(($E$5:$BJ$5="CO2")*(ISNUMBER(L113:BQ113))*(L113:BQ113&gt;0), L113:BQ113)</f>
        <v/>
      </c>
      <c r="BV113" s="37">
        <f>SUMPRODUCT(($AW$5:$BR$5="CO3")*AW113:BR113)</f>
        <v/>
      </c>
      <c r="BW113" s="37">
        <f>SUMPRODUCT(($AW$5:$BR$5="CO4")*AW113:BR113)</f>
        <v/>
      </c>
      <c r="BX113" s="33">
        <f>SUMPRODUCT(($E$5:$BJ$5="CO5")*(ISNUMBER(L113:BQ113))*(L113:BQ113&gt;0), L113:BQ113)</f>
        <v/>
      </c>
      <c r="BY113" s="33">
        <f>SUMPRODUCT(($E$5:$BJ$5="CO6")*(ISNUMBER(L113:BQ113))*(L113:BQ113&gt;0), L113:BQ113)</f>
        <v/>
      </c>
      <c r="BZ113" s="33">
        <f>SUM(BT113:BY113)</f>
        <v/>
      </c>
      <c r="CB113" s="38" t="n"/>
      <c r="CC113" s="38" t="n"/>
      <c r="CD113" s="38" t="n"/>
      <c r="CE113" s="38" t="n"/>
      <c r="CF113" s="38" t="n"/>
      <c r="CG113" s="38" t="n"/>
    </row>
    <row r="114" ht="15.5" customHeight="1">
      <c r="A114" s="43" t="n">
        <v>107</v>
      </c>
      <c r="B114" s="43" t="n"/>
      <c r="C114" s="43" t="n"/>
      <c r="D114" s="7" t="n"/>
      <c r="L114" s="7" t="n"/>
      <c r="N114" s="7" t="n"/>
      <c r="O114" s="7" t="n"/>
      <c r="P114" s="7" t="n"/>
      <c r="Y114" s="24" t="n"/>
      <c r="AH114" s="7" t="n"/>
      <c r="AJ114" s="7" t="n"/>
      <c r="AK114" s="7" t="n"/>
      <c r="AL114" s="7" t="n"/>
      <c r="AU114" s="31">
        <f>SUM(AA114:AL114)+(IF(AM114&lt;&gt;"",AM114,AN114))+(IF(AO114&lt;&gt;"",AO114,AP114))+(IF(AQ114&lt;&gt;"",AQ114,AR114))+(IF(AS114&lt;&gt;"",AS114,AT114))</f>
        <v/>
      </c>
      <c r="BD114" s="5" t="n"/>
      <c r="BE114" s="5" t="n"/>
      <c r="BF114" s="5" t="n"/>
      <c r="BG114" s="5" t="n"/>
      <c r="BH114" s="5" t="n"/>
      <c r="BI114" s="5" t="n"/>
      <c r="BJ114" s="25">
        <f>SUM(BD114:BI114)</f>
        <v/>
      </c>
      <c r="BR114" s="33">
        <f>SUM(BL114:BQ114)</f>
        <v/>
      </c>
      <c r="BT114" s="36">
        <f>SUMPRODUCT(($AW$5:$BQ$5="CO1")*AW114:BQ114)</f>
        <v/>
      </c>
      <c r="BU114" s="33">
        <f>SUMPRODUCT(($E$5:$BJ$5="CO2")*(ISNUMBER(L114:BQ114))*(L114:BQ114&gt;0), L114:BQ114)</f>
        <v/>
      </c>
      <c r="BV114" s="37">
        <f>SUMPRODUCT(($AW$5:$BR$5="CO3")*AW114:BR114)</f>
        <v/>
      </c>
      <c r="BW114" s="37">
        <f>SUMPRODUCT(($AW$5:$BR$5="CO4")*AW114:BR114)</f>
        <v/>
      </c>
      <c r="BX114" s="33">
        <f>SUMPRODUCT(($E$5:$BJ$5="CO5")*(ISNUMBER(L114:BQ114))*(L114:BQ114&gt;0), L114:BQ114)</f>
        <v/>
      </c>
      <c r="BY114" s="33">
        <f>SUMPRODUCT(($E$5:$BJ$5="CO6")*(ISNUMBER(L114:BQ114))*(L114:BQ114&gt;0), L114:BQ114)</f>
        <v/>
      </c>
      <c r="BZ114" s="33">
        <f>SUM(BT114:BY114)</f>
        <v/>
      </c>
      <c r="CB114" s="38" t="n"/>
      <c r="CC114" s="38" t="n"/>
      <c r="CD114" s="38" t="n"/>
      <c r="CE114" s="38" t="n"/>
      <c r="CF114" s="38" t="n"/>
      <c r="CG114" s="38" t="n"/>
    </row>
    <row r="115" ht="15.5" customHeight="1">
      <c r="A115" s="43" t="n">
        <v>108</v>
      </c>
      <c r="B115" s="43" t="n"/>
      <c r="C115" s="43" t="n"/>
      <c r="D115" s="7" t="n"/>
      <c r="L115" s="7" t="n"/>
      <c r="N115" s="7" t="n"/>
      <c r="O115" s="7" t="n"/>
      <c r="P115" s="7" t="n"/>
      <c r="Y115" s="24" t="n"/>
      <c r="AH115" s="7" t="n"/>
      <c r="AJ115" s="7" t="n"/>
      <c r="AK115" s="7" t="n"/>
      <c r="AL115" s="7" t="n"/>
      <c r="AU115" s="31">
        <f>SUM(AA115:AL115)+(IF(AM115&lt;&gt;"",AM115,AN115))+(IF(AO115&lt;&gt;"",AO115,AP115))+(IF(AQ115&lt;&gt;"",AQ115,AR115))+(IF(AS115&lt;&gt;"",AS115,AT115))</f>
        <v/>
      </c>
      <c r="BD115" s="5" t="n"/>
      <c r="BE115" s="5" t="n"/>
      <c r="BF115" s="5" t="n"/>
      <c r="BG115" s="5" t="n"/>
      <c r="BH115" s="5" t="n"/>
      <c r="BI115" s="5" t="n"/>
      <c r="BJ115" s="25">
        <f>SUM(BD115:BI115)</f>
        <v/>
      </c>
      <c r="BR115" s="33">
        <f>SUM(BL115:BQ115)</f>
        <v/>
      </c>
      <c r="BT115" s="36">
        <f>SUMPRODUCT(($AW$5:$BQ$5="CO1")*AW115:BQ115)</f>
        <v/>
      </c>
      <c r="BU115" s="33">
        <f>SUMPRODUCT(($E$5:$BJ$5="CO2")*(ISNUMBER(L115:BQ115))*(L115:BQ115&gt;0), L115:BQ115)</f>
        <v/>
      </c>
      <c r="BV115" s="37">
        <f>SUMPRODUCT(($AW$5:$BR$5="CO3")*AW115:BR115)</f>
        <v/>
      </c>
      <c r="BW115" s="37">
        <f>SUMPRODUCT(($AW$5:$BR$5="CO4")*AW115:BR115)</f>
        <v/>
      </c>
      <c r="BX115" s="33">
        <f>SUMPRODUCT(($E$5:$BJ$5="CO5")*(ISNUMBER(L115:BQ115))*(L115:BQ115&gt;0), L115:BQ115)</f>
        <v/>
      </c>
      <c r="BY115" s="33">
        <f>SUMPRODUCT(($E$5:$BJ$5="CO6")*(ISNUMBER(L115:BQ115))*(L115:BQ115&gt;0), L115:BQ115)</f>
        <v/>
      </c>
      <c r="BZ115" s="33">
        <f>SUM(BT115:BY115)</f>
        <v/>
      </c>
      <c r="CB115" s="38" t="n"/>
      <c r="CC115" s="38" t="n"/>
      <c r="CD115" s="38" t="n"/>
      <c r="CE115" s="38" t="n"/>
      <c r="CF115" s="38" t="n"/>
      <c r="CG115" s="38" t="n"/>
    </row>
    <row r="116" ht="15.5" customHeight="1">
      <c r="A116" s="43" t="n">
        <v>109</v>
      </c>
      <c r="B116" s="43" t="n"/>
      <c r="C116" s="43" t="n"/>
      <c r="D116" s="7" t="n"/>
      <c r="L116" s="7" t="n"/>
      <c r="N116" s="7" t="n"/>
      <c r="O116" s="7" t="n"/>
      <c r="P116" s="7" t="n"/>
      <c r="Y116" s="24" t="n"/>
      <c r="AH116" s="7" t="n"/>
      <c r="AJ116" s="7" t="n"/>
      <c r="AK116" s="7" t="n"/>
      <c r="AL116" s="7" t="n"/>
      <c r="AU116" s="31">
        <f>SUM(AA116:AL116)+(IF(AM116&lt;&gt;"",AM116,AN116))+(IF(AO116&lt;&gt;"",AO116,AP116))+(IF(AQ116&lt;&gt;"",AQ116,AR116))+(IF(AS116&lt;&gt;"",AS116,AT116))</f>
        <v/>
      </c>
      <c r="BD116" s="5" t="n"/>
      <c r="BE116" s="5" t="n"/>
      <c r="BF116" s="5" t="n"/>
      <c r="BG116" s="5" t="n"/>
      <c r="BH116" s="5" t="n"/>
      <c r="BI116" s="5" t="n"/>
      <c r="BJ116" s="25">
        <f>SUM(BD116:BI116)</f>
        <v/>
      </c>
      <c r="BR116" s="33">
        <f>SUM(BL116:BQ116)</f>
        <v/>
      </c>
      <c r="BT116" s="36">
        <f>SUMPRODUCT(($AW$5:$BQ$5="CO1")*AW116:BQ116)</f>
        <v/>
      </c>
      <c r="BU116" s="33">
        <f>SUMPRODUCT(($E$5:$BJ$5="CO2")*(ISNUMBER(L116:BQ116))*(L116:BQ116&gt;0), L116:BQ116)</f>
        <v/>
      </c>
      <c r="BV116" s="37">
        <f>SUMPRODUCT(($AW$5:$BR$5="CO3")*AW116:BR116)</f>
        <v/>
      </c>
      <c r="BW116" s="37">
        <f>SUMPRODUCT(($AW$5:$BR$5="CO4")*AW116:BR116)</f>
        <v/>
      </c>
      <c r="BX116" s="33">
        <f>SUMPRODUCT(($E$5:$BJ$5="CO5")*(ISNUMBER(L116:BQ116))*(L116:BQ116&gt;0), L116:BQ116)</f>
        <v/>
      </c>
      <c r="BY116" s="33">
        <f>SUMPRODUCT(($E$5:$BJ$5="CO6")*(ISNUMBER(L116:BQ116))*(L116:BQ116&gt;0), L116:BQ116)</f>
        <v/>
      </c>
      <c r="BZ116" s="33">
        <f>SUM(BT116:BY116)</f>
        <v/>
      </c>
      <c r="CB116" s="38" t="n"/>
      <c r="CC116" s="38" t="n"/>
      <c r="CD116" s="38" t="n"/>
      <c r="CE116" s="38" t="n"/>
      <c r="CF116" s="38" t="n"/>
      <c r="CG116" s="38" t="n"/>
    </row>
    <row r="117" ht="15.5" customHeight="1">
      <c r="A117" s="43" t="n">
        <v>110</v>
      </c>
      <c r="B117" s="43" t="n"/>
      <c r="C117" s="43" t="n"/>
      <c r="D117" s="7" t="n"/>
      <c r="L117" s="7" t="n"/>
      <c r="N117" s="7" t="n"/>
      <c r="O117" s="7" t="n"/>
      <c r="P117" s="7" t="n"/>
      <c r="Y117" s="24" t="n"/>
      <c r="AH117" s="7" t="n"/>
      <c r="AJ117" s="7" t="n"/>
      <c r="AK117" s="7" t="n"/>
      <c r="AL117" s="7" t="n"/>
      <c r="AU117" s="31">
        <f>SUM(AA117:AL117)+(IF(AM117&lt;&gt;"",AM117,AN117))+(IF(AO117&lt;&gt;"",AO117,AP117))+(IF(AQ117&lt;&gt;"",AQ117,AR117))+(IF(AS117&lt;&gt;"",AS117,AT117))</f>
        <v/>
      </c>
      <c r="BD117" s="5" t="n"/>
      <c r="BE117" s="5" t="n"/>
      <c r="BF117" s="5" t="n"/>
      <c r="BG117" s="5" t="n"/>
      <c r="BH117" s="5" t="n"/>
      <c r="BI117" s="5" t="n"/>
      <c r="BJ117" s="25">
        <f>SUM(BD117:BI117)</f>
        <v/>
      </c>
      <c r="BR117" s="33">
        <f>SUM(BL117:BQ117)</f>
        <v/>
      </c>
      <c r="BT117" s="36">
        <f>SUMPRODUCT(($AW$5:$BQ$5="CO1")*AW117:BQ117)</f>
        <v/>
      </c>
      <c r="BU117" s="33">
        <f>SUMPRODUCT(($E$5:$BJ$5="CO2")*(ISNUMBER(L117:BQ117))*(L117:BQ117&gt;0), L117:BQ117)</f>
        <v/>
      </c>
      <c r="BV117" s="37">
        <f>SUMPRODUCT(($AW$5:$BR$5="CO3")*AW117:BR117)</f>
        <v/>
      </c>
      <c r="BW117" s="37">
        <f>SUMPRODUCT(($AW$5:$BR$5="CO4")*AW117:BR117)</f>
        <v/>
      </c>
      <c r="BX117" s="33">
        <f>SUMPRODUCT(($E$5:$BJ$5="CO5")*(ISNUMBER(L117:BQ117))*(L117:BQ117&gt;0), L117:BQ117)</f>
        <v/>
      </c>
      <c r="BY117" s="33">
        <f>SUMPRODUCT(($E$5:$BJ$5="CO6")*(ISNUMBER(L117:BQ117))*(L117:BQ117&gt;0), L117:BQ117)</f>
        <v/>
      </c>
      <c r="BZ117" s="33">
        <f>SUM(BT117:BY117)</f>
        <v/>
      </c>
      <c r="CB117" s="38" t="n"/>
      <c r="CC117" s="38" t="n"/>
      <c r="CD117" s="38" t="n"/>
      <c r="CE117" s="38" t="n"/>
      <c r="CF117" s="38" t="n"/>
      <c r="CG117" s="38" t="n"/>
    </row>
    <row r="118" ht="15.5" customHeight="1">
      <c r="A118" s="43" t="n">
        <v>111</v>
      </c>
      <c r="B118" s="43" t="n"/>
      <c r="C118" s="43" t="n"/>
      <c r="D118" s="7" t="n"/>
      <c r="L118" s="7" t="n"/>
      <c r="N118" s="7" t="n"/>
      <c r="O118" s="7" t="n"/>
      <c r="P118" s="7" t="n"/>
      <c r="Y118" s="24" t="n"/>
      <c r="AH118" s="7" t="n"/>
      <c r="AJ118" s="7" t="n"/>
      <c r="AK118" s="7" t="n"/>
      <c r="AL118" s="7" t="n"/>
      <c r="AU118" s="31">
        <f>SUM(AA118:AL118)+(IF(AM118&lt;&gt;"",AM118,AN118))+(IF(AO118&lt;&gt;"",AO118,AP118))+(IF(AQ118&lt;&gt;"",AQ118,AR118))+(IF(AS118&lt;&gt;"",AS118,AT118))</f>
        <v/>
      </c>
      <c r="BD118" s="5" t="n"/>
      <c r="BE118" s="5" t="n"/>
      <c r="BF118" s="5" t="n"/>
      <c r="BG118" s="5" t="n"/>
      <c r="BH118" s="5" t="n"/>
      <c r="BI118" s="5" t="n"/>
      <c r="BJ118" s="25">
        <f>SUM(BD118:BI118)</f>
        <v/>
      </c>
      <c r="BR118" s="33">
        <f>SUM(BL118:BQ118)</f>
        <v/>
      </c>
      <c r="BT118" s="36">
        <f>SUMPRODUCT(($AW$5:$BQ$5="CO1")*AW118:BQ118)</f>
        <v/>
      </c>
      <c r="BU118" s="33">
        <f>SUMPRODUCT(($E$5:$BJ$5="CO2")*(ISNUMBER(L118:BQ118))*(L118:BQ118&gt;0), L118:BQ118)</f>
        <v/>
      </c>
      <c r="BV118" s="37">
        <f>SUMPRODUCT(($AW$5:$BR$5="CO3")*AW118:BR118)</f>
        <v/>
      </c>
      <c r="BW118" s="37">
        <f>SUMPRODUCT(($AW$5:$BR$5="CO4")*AW118:BR118)</f>
        <v/>
      </c>
      <c r="BX118" s="33">
        <f>SUMPRODUCT(($E$5:$BJ$5="CO5")*(ISNUMBER(L118:BQ118))*(L118:BQ118&gt;0), L118:BQ118)</f>
        <v/>
      </c>
      <c r="BY118" s="33">
        <f>SUMPRODUCT(($E$5:$BJ$5="CO6")*(ISNUMBER(L118:BQ118))*(L118:BQ118&gt;0), L118:BQ118)</f>
        <v/>
      </c>
      <c r="BZ118" s="33">
        <f>SUM(BT118:BY118)</f>
        <v/>
      </c>
      <c r="CB118" s="38" t="n"/>
      <c r="CC118" s="38" t="n"/>
      <c r="CD118" s="38" t="n"/>
      <c r="CE118" s="38" t="n"/>
      <c r="CF118" s="38" t="n"/>
      <c r="CG118" s="38" t="n"/>
    </row>
    <row r="119" ht="15.5" customHeight="1">
      <c r="A119" s="43" t="n">
        <v>112</v>
      </c>
      <c r="B119" s="43" t="n"/>
      <c r="C119" s="43" t="n"/>
      <c r="D119" s="7" t="n"/>
      <c r="L119" s="7" t="n"/>
      <c r="N119" s="7" t="n"/>
      <c r="O119" s="7" t="n"/>
      <c r="P119" s="7" t="n"/>
      <c r="Y119" s="24" t="n"/>
      <c r="AH119" s="7" t="n"/>
      <c r="AJ119" s="7" t="n"/>
      <c r="AK119" s="7" t="n"/>
      <c r="AL119" s="7" t="n"/>
      <c r="AU119" s="31">
        <f>SUM(AA119:AL119)+(IF(AM119&lt;&gt;"",AM119,AN119))+(IF(AO119&lt;&gt;"",AO119,AP119))+(IF(AQ119&lt;&gt;"",AQ119,AR119))+(IF(AS119&lt;&gt;"",AS119,AT119))</f>
        <v/>
      </c>
      <c r="BD119" s="5" t="n"/>
      <c r="BE119" s="5" t="n"/>
      <c r="BF119" s="5" t="n"/>
      <c r="BG119" s="5" t="n"/>
      <c r="BH119" s="5" t="n"/>
      <c r="BI119" s="5" t="n"/>
      <c r="BJ119" s="25">
        <f>SUM(BD119:BI119)</f>
        <v/>
      </c>
      <c r="BR119" s="33">
        <f>SUM(BL119:BQ119)</f>
        <v/>
      </c>
      <c r="BT119" s="36">
        <f>SUMPRODUCT(($AW$5:$BQ$5="CO1")*AW119:BQ119)</f>
        <v/>
      </c>
      <c r="BU119" s="33">
        <f>SUMPRODUCT(($E$5:$BJ$5="CO2")*(ISNUMBER(L119:BQ119))*(L119:BQ119&gt;0), L119:BQ119)</f>
        <v/>
      </c>
      <c r="BV119" s="37">
        <f>SUMPRODUCT(($AW$5:$BR$5="CO3")*AW119:BR119)</f>
        <v/>
      </c>
      <c r="BW119" s="37">
        <f>SUMPRODUCT(($AW$5:$BR$5="CO4")*AW119:BR119)</f>
        <v/>
      </c>
      <c r="BX119" s="33">
        <f>SUMPRODUCT(($E$5:$BJ$5="CO5")*(ISNUMBER(L119:BQ119))*(L119:BQ119&gt;0), L119:BQ119)</f>
        <v/>
      </c>
      <c r="BY119" s="33">
        <f>SUMPRODUCT(($E$5:$BJ$5="CO6")*(ISNUMBER(L119:BQ119))*(L119:BQ119&gt;0), L119:BQ119)</f>
        <v/>
      </c>
      <c r="BZ119" s="33">
        <f>SUM(BT119:BY119)</f>
        <v/>
      </c>
      <c r="CB119" s="38" t="n"/>
      <c r="CC119" s="38" t="n"/>
      <c r="CD119" s="38" t="n"/>
      <c r="CE119" s="38" t="n"/>
      <c r="CF119" s="38" t="n"/>
      <c r="CG119" s="38" t="n"/>
    </row>
    <row r="120" ht="15.5" customHeight="1">
      <c r="A120" s="43" t="n">
        <v>113</v>
      </c>
      <c r="B120" s="43" t="n"/>
      <c r="C120" s="43" t="n"/>
      <c r="D120" s="7" t="n"/>
      <c r="L120" s="7" t="n"/>
      <c r="N120" s="7" t="n"/>
      <c r="O120" s="7" t="n"/>
      <c r="P120" s="7" t="n"/>
      <c r="Y120" s="24" t="n"/>
      <c r="AH120" s="7" t="n"/>
      <c r="AJ120" s="7" t="n"/>
      <c r="AK120" s="7" t="n"/>
      <c r="AL120" s="7" t="n"/>
      <c r="AU120" s="31">
        <f>SUM(AA120:AL120)+(IF(AM120&lt;&gt;"",AM120,AN120))+(IF(AO120&lt;&gt;"",AO120,AP120))+(IF(AQ120&lt;&gt;"",AQ120,AR120))+(IF(AS120&lt;&gt;"",AS120,AT120))</f>
        <v/>
      </c>
      <c r="BD120" s="5" t="n"/>
      <c r="BE120" s="5" t="n"/>
      <c r="BF120" s="5" t="n"/>
      <c r="BG120" s="5" t="n"/>
      <c r="BH120" s="5" t="n"/>
      <c r="BI120" s="5" t="n"/>
      <c r="BJ120" s="25">
        <f>SUM(BD120:BI120)</f>
        <v/>
      </c>
      <c r="BR120" s="33">
        <f>SUM(BL120:BQ120)</f>
        <v/>
      </c>
      <c r="BT120" s="36">
        <f>SUMPRODUCT(($AW$5:$BQ$5="CO1")*AW120:BQ120)</f>
        <v/>
      </c>
      <c r="BU120" s="33">
        <f>SUMPRODUCT(($E$5:$BJ$5="CO2")*(ISNUMBER(L120:BQ120))*(L120:BQ120&gt;0), L120:BQ120)</f>
        <v/>
      </c>
      <c r="BV120" s="37">
        <f>SUMPRODUCT(($AW$5:$BR$5="CO3")*AW120:BR120)</f>
        <v/>
      </c>
      <c r="BW120" s="37">
        <f>SUMPRODUCT(($AW$5:$BR$5="CO4")*AW120:BR120)</f>
        <v/>
      </c>
      <c r="BX120" s="33">
        <f>SUMPRODUCT(($E$5:$BJ$5="CO5")*(ISNUMBER(L120:BQ120))*(L120:BQ120&gt;0), L120:BQ120)</f>
        <v/>
      </c>
      <c r="BY120" s="33">
        <f>SUMPRODUCT(($E$5:$BJ$5="CO6")*(ISNUMBER(L120:BQ120))*(L120:BQ120&gt;0), L120:BQ120)</f>
        <v/>
      </c>
      <c r="BZ120" s="33">
        <f>SUM(BT120:BY120)</f>
        <v/>
      </c>
      <c r="CB120" s="38" t="n"/>
      <c r="CC120" s="38" t="n"/>
      <c r="CD120" s="38" t="n"/>
      <c r="CE120" s="38" t="n"/>
      <c r="CF120" s="38" t="n"/>
      <c r="CG120" s="38" t="n"/>
    </row>
    <row r="121" ht="15.5" customHeight="1">
      <c r="A121" s="43" t="n">
        <v>114</v>
      </c>
      <c r="B121" s="43" t="n"/>
      <c r="C121" s="43" t="n"/>
      <c r="D121" s="7" t="n"/>
      <c r="L121" s="7" t="n"/>
      <c r="N121" s="7" t="n"/>
      <c r="O121" s="7" t="n"/>
      <c r="P121" s="7" t="n"/>
      <c r="Y121" s="24" t="n"/>
      <c r="AH121" s="7" t="n"/>
      <c r="AJ121" s="7" t="n"/>
      <c r="AK121" s="7" t="n"/>
      <c r="AL121" s="7" t="n"/>
      <c r="AU121" s="31">
        <f>SUM(AA121:AL121)+(IF(AM121&lt;&gt;"",AM121,AN121))+(IF(AO121&lt;&gt;"",AO121,AP121))+(IF(AQ121&lt;&gt;"",AQ121,AR121))+(IF(AS121&lt;&gt;"",AS121,AT121))</f>
        <v/>
      </c>
      <c r="BD121" s="5" t="n"/>
      <c r="BE121" s="5" t="n"/>
      <c r="BF121" s="5" t="n"/>
      <c r="BG121" s="5" t="n"/>
      <c r="BH121" s="5" t="n"/>
      <c r="BI121" s="5" t="n"/>
      <c r="BJ121" s="25">
        <f>SUM(BD121:BI121)</f>
        <v/>
      </c>
      <c r="BR121" s="33">
        <f>SUM(BL121:BQ121)</f>
        <v/>
      </c>
      <c r="BT121" s="36">
        <f>SUMPRODUCT(($AW$5:$BQ$5="CO1")*AW121:BQ121)</f>
        <v/>
      </c>
      <c r="BU121" s="33">
        <f>SUMPRODUCT(($E$5:$BJ$5="CO2")*(ISNUMBER(L121:BQ121))*(L121:BQ121&gt;0), L121:BQ121)</f>
        <v/>
      </c>
      <c r="BV121" s="37">
        <f>SUMPRODUCT(($AW$5:$BR$5="CO3")*AW121:BR121)</f>
        <v/>
      </c>
      <c r="BW121" s="37">
        <f>SUMPRODUCT(($AW$5:$BR$5="CO4")*AW121:BR121)</f>
        <v/>
      </c>
      <c r="BX121" s="33">
        <f>SUMPRODUCT(($E$5:$BJ$5="CO5")*(ISNUMBER(L121:BQ121))*(L121:BQ121&gt;0), L121:BQ121)</f>
        <v/>
      </c>
      <c r="BY121" s="33">
        <f>SUMPRODUCT(($E$5:$BJ$5="CO6")*(ISNUMBER(L121:BQ121))*(L121:BQ121&gt;0), L121:BQ121)</f>
        <v/>
      </c>
      <c r="BZ121" s="33">
        <f>SUM(BT121:BY121)</f>
        <v/>
      </c>
      <c r="CB121" s="38" t="n"/>
      <c r="CC121" s="38" t="n"/>
      <c r="CD121" s="38" t="n"/>
      <c r="CE121" s="38" t="n"/>
      <c r="CF121" s="38" t="n"/>
      <c r="CG121" s="38" t="n"/>
    </row>
    <row r="122" ht="15.5" customHeight="1">
      <c r="A122" s="43" t="n">
        <v>115</v>
      </c>
      <c r="B122" s="43" t="n"/>
      <c r="C122" s="43" t="n"/>
      <c r="D122" s="7" t="n"/>
      <c r="L122" s="7" t="n"/>
      <c r="N122" s="7" t="n"/>
      <c r="O122" s="7" t="n"/>
      <c r="P122" s="7" t="n"/>
      <c r="Y122" s="24" t="n"/>
      <c r="AH122" s="7" t="n"/>
      <c r="AJ122" s="7" t="n"/>
      <c r="AK122" s="7" t="n"/>
      <c r="AL122" s="7" t="n"/>
      <c r="AU122" s="31">
        <f>SUM(AA122:AL122)+(IF(AM122&lt;&gt;"",AM122,AN122))+(IF(AO122&lt;&gt;"",AO122,AP122))+(IF(AQ122&lt;&gt;"",AQ122,AR122))+(IF(AS122&lt;&gt;"",AS122,AT122))</f>
        <v/>
      </c>
      <c r="BD122" s="5" t="n"/>
      <c r="BE122" s="5" t="n"/>
      <c r="BF122" s="5" t="n"/>
      <c r="BG122" s="5" t="n"/>
      <c r="BH122" s="5" t="n"/>
      <c r="BI122" s="5" t="n"/>
      <c r="BJ122" s="25">
        <f>SUM(BD122:BI122)</f>
        <v/>
      </c>
      <c r="BR122" s="33">
        <f>SUM(BL122:BQ122)</f>
        <v/>
      </c>
      <c r="BT122" s="36">
        <f>SUMPRODUCT(($AW$5:$BQ$5="CO1")*AW122:BQ122)</f>
        <v/>
      </c>
      <c r="BU122" s="33">
        <f>SUMPRODUCT(($E$5:$BJ$5="CO2")*(ISNUMBER(L122:BQ122))*(L122:BQ122&gt;0), L122:BQ122)</f>
        <v/>
      </c>
      <c r="BV122" s="37">
        <f>SUMPRODUCT(($AW$5:$BR$5="CO3")*AW122:BR122)</f>
        <v/>
      </c>
      <c r="BW122" s="37">
        <f>SUMPRODUCT(($AW$5:$BR$5="CO4")*AW122:BR122)</f>
        <v/>
      </c>
      <c r="BX122" s="33">
        <f>SUMPRODUCT(($E$5:$BJ$5="CO5")*(ISNUMBER(L122:BQ122))*(L122:BQ122&gt;0), L122:BQ122)</f>
        <v/>
      </c>
      <c r="BY122" s="33">
        <f>SUMPRODUCT(($E$5:$BJ$5="CO6")*(ISNUMBER(L122:BQ122))*(L122:BQ122&gt;0), L122:BQ122)</f>
        <v/>
      </c>
      <c r="BZ122" s="33">
        <f>SUM(BT122:BY122)</f>
        <v/>
      </c>
      <c r="CB122" s="38" t="n"/>
      <c r="CC122" s="38" t="n"/>
      <c r="CD122" s="38" t="n"/>
      <c r="CE122" s="38" t="n"/>
      <c r="CF122" s="38" t="n"/>
      <c r="CG122" s="38" t="n"/>
    </row>
    <row r="123" ht="15.5" customHeight="1">
      <c r="A123" s="43" t="n">
        <v>116</v>
      </c>
      <c r="B123" s="43" t="n"/>
      <c r="C123" s="43" t="n"/>
      <c r="D123" s="7" t="n"/>
      <c r="L123" s="7" t="n"/>
      <c r="N123" s="7" t="n"/>
      <c r="O123" s="7" t="n"/>
      <c r="P123" s="7" t="n"/>
      <c r="Y123" s="24" t="n"/>
      <c r="AH123" s="7" t="n"/>
      <c r="AJ123" s="7" t="n"/>
      <c r="AK123" s="7" t="n"/>
      <c r="AL123" s="7" t="n"/>
      <c r="AU123" s="31">
        <f>SUM(AA123:AL123)+(IF(AM123&lt;&gt;"",AM123,AN123))+(IF(AO123&lt;&gt;"",AO123,AP123))+(IF(AQ123&lt;&gt;"",AQ123,AR123))+(IF(AS123&lt;&gt;"",AS123,AT123))</f>
        <v/>
      </c>
      <c r="BD123" s="5" t="n"/>
      <c r="BE123" s="5" t="n"/>
      <c r="BF123" s="5" t="n"/>
      <c r="BG123" s="5" t="n"/>
      <c r="BH123" s="5" t="n"/>
      <c r="BI123" s="5" t="n"/>
      <c r="BJ123" s="25">
        <f>SUM(BD123:BI123)</f>
        <v/>
      </c>
      <c r="BR123" s="33">
        <f>SUM(BL123:BQ123)</f>
        <v/>
      </c>
      <c r="BT123" s="36">
        <f>SUMPRODUCT(($AW$5:$BQ$5="CO1")*AW123:BQ123)</f>
        <v/>
      </c>
      <c r="BU123" s="33">
        <f>SUMPRODUCT(($E$5:$BJ$5="CO2")*(ISNUMBER(L123:BQ123))*(L123:BQ123&gt;0), L123:BQ123)</f>
        <v/>
      </c>
      <c r="BV123" s="37">
        <f>SUMPRODUCT(($AW$5:$BR$5="CO3")*AW123:BR123)</f>
        <v/>
      </c>
      <c r="BW123" s="37">
        <f>SUMPRODUCT(($AW$5:$BR$5="CO4")*AW123:BR123)</f>
        <v/>
      </c>
      <c r="BX123" s="33">
        <f>SUMPRODUCT(($E$5:$BJ$5="CO5")*(ISNUMBER(L123:BQ123))*(L123:BQ123&gt;0), L123:BQ123)</f>
        <v/>
      </c>
      <c r="BY123" s="33">
        <f>SUMPRODUCT(($E$5:$BJ$5="CO6")*(ISNUMBER(L123:BQ123))*(L123:BQ123&gt;0), L123:BQ123)</f>
        <v/>
      </c>
      <c r="BZ123" s="33">
        <f>SUM(BT123:BY123)</f>
        <v/>
      </c>
      <c r="CB123" s="38" t="n"/>
      <c r="CC123" s="38" t="n"/>
      <c r="CD123" s="38" t="n"/>
      <c r="CE123" s="38" t="n"/>
      <c r="CF123" s="38" t="n"/>
      <c r="CG123" s="38" t="n"/>
    </row>
    <row r="124" ht="15.5" customHeight="1">
      <c r="A124" s="43" t="n">
        <v>117</v>
      </c>
      <c r="B124" s="43" t="n"/>
      <c r="C124" s="43" t="n"/>
      <c r="D124" s="7" t="n"/>
      <c r="L124" s="7" t="n"/>
      <c r="N124" s="7" t="n"/>
      <c r="O124" s="7" t="n"/>
      <c r="P124" s="7" t="n"/>
      <c r="Y124" s="24" t="n"/>
      <c r="AH124" s="7" t="n"/>
      <c r="AJ124" s="7" t="n"/>
      <c r="AK124" s="7" t="n"/>
      <c r="AL124" s="7" t="n"/>
      <c r="AU124" s="31">
        <f>SUM(AA124:AL124)+(IF(AM124&lt;&gt;"",AM124,AN124))+(IF(AO124&lt;&gt;"",AO124,AP124))+(IF(AQ124&lt;&gt;"",AQ124,AR124))+(IF(AS124&lt;&gt;"",AS124,AT124))</f>
        <v/>
      </c>
      <c r="BD124" s="5" t="n"/>
      <c r="BE124" s="5" t="n"/>
      <c r="BF124" s="5" t="n"/>
      <c r="BG124" s="5" t="n"/>
      <c r="BH124" s="5" t="n"/>
      <c r="BI124" s="5" t="n"/>
      <c r="BJ124" s="25">
        <f>SUM(BD124:BI124)</f>
        <v/>
      </c>
      <c r="BR124" s="33">
        <f>SUM(BL124:BQ124)</f>
        <v/>
      </c>
      <c r="BT124" s="36">
        <f>SUMPRODUCT(($AW$5:$BQ$5="CO1")*AW124:BQ124)</f>
        <v/>
      </c>
      <c r="BU124" s="33">
        <f>SUMPRODUCT(($E$5:$BJ$5="CO2")*(ISNUMBER(L124:BQ124))*(L124:BQ124&gt;0), L124:BQ124)</f>
        <v/>
      </c>
      <c r="BV124" s="37">
        <f>SUMPRODUCT(($AW$5:$BR$5="CO3")*AW124:BR124)</f>
        <v/>
      </c>
      <c r="BW124" s="37">
        <f>SUMPRODUCT(($AW$5:$BR$5="CO4")*AW124:BR124)</f>
        <v/>
      </c>
      <c r="BX124" s="33">
        <f>SUMPRODUCT(($E$5:$BJ$5="CO5")*(ISNUMBER(L124:BQ124))*(L124:BQ124&gt;0), L124:BQ124)</f>
        <v/>
      </c>
      <c r="BY124" s="33">
        <f>SUMPRODUCT(($E$5:$BJ$5="CO6")*(ISNUMBER(L124:BQ124))*(L124:BQ124&gt;0), L124:BQ124)</f>
        <v/>
      </c>
      <c r="BZ124" s="33">
        <f>SUM(BT124:BY124)</f>
        <v/>
      </c>
      <c r="CB124" s="38" t="n"/>
      <c r="CC124" s="38" t="n"/>
      <c r="CD124" s="38" t="n"/>
      <c r="CE124" s="38" t="n"/>
      <c r="CF124" s="38" t="n"/>
      <c r="CG124" s="38" t="n"/>
    </row>
    <row r="125" ht="15.5" customHeight="1">
      <c r="A125" s="43" t="n">
        <v>118</v>
      </c>
      <c r="B125" s="43" t="n"/>
      <c r="C125" s="43" t="n"/>
      <c r="D125" s="7" t="n"/>
      <c r="L125" s="7" t="n"/>
      <c r="N125" s="7" t="n"/>
      <c r="O125" s="7" t="n"/>
      <c r="P125" s="7" t="n"/>
      <c r="Y125" s="24" t="n"/>
      <c r="AH125" s="7" t="n"/>
      <c r="AJ125" s="7" t="n"/>
      <c r="AK125" s="7" t="n"/>
      <c r="AL125" s="7" t="n"/>
      <c r="AU125" s="31">
        <f>SUM(AA125:AL125)+(IF(AM125&lt;&gt;"",AM125,AN125))+(IF(AO125&lt;&gt;"",AO125,AP125))+(IF(AQ125&lt;&gt;"",AQ125,AR125))+(IF(AS125&lt;&gt;"",AS125,AT125))</f>
        <v/>
      </c>
      <c r="BD125" s="5" t="n"/>
      <c r="BE125" s="5" t="n"/>
      <c r="BF125" s="5" t="n"/>
      <c r="BG125" s="5" t="n"/>
      <c r="BH125" s="5" t="n"/>
      <c r="BI125" s="5" t="n"/>
      <c r="BJ125" s="25">
        <f>SUM(BD125:BI125)</f>
        <v/>
      </c>
      <c r="BR125" s="33">
        <f>SUM(BL125:BQ125)</f>
        <v/>
      </c>
      <c r="BT125" s="36">
        <f>SUMPRODUCT(($AW$5:$BQ$5="CO1")*AW125:BQ125)</f>
        <v/>
      </c>
      <c r="BU125" s="33">
        <f>SUMPRODUCT(($E$5:$BJ$5="CO2")*(ISNUMBER(L125:BQ125))*(L125:BQ125&gt;0), L125:BQ125)</f>
        <v/>
      </c>
      <c r="BV125" s="37">
        <f>SUMPRODUCT(($AW$5:$BR$5="CO3")*AW125:BR125)</f>
        <v/>
      </c>
      <c r="BW125" s="37">
        <f>SUMPRODUCT(($AW$5:$BR$5="CO4")*AW125:BR125)</f>
        <v/>
      </c>
      <c r="BX125" s="33">
        <f>SUMPRODUCT(($E$5:$BJ$5="CO5")*(ISNUMBER(L125:BQ125))*(L125:BQ125&gt;0), L125:BQ125)</f>
        <v/>
      </c>
      <c r="BY125" s="33">
        <f>SUMPRODUCT(($E$5:$BJ$5="CO6")*(ISNUMBER(L125:BQ125))*(L125:BQ125&gt;0), L125:BQ125)</f>
        <v/>
      </c>
      <c r="BZ125" s="33">
        <f>SUM(BT125:BY125)</f>
        <v/>
      </c>
      <c r="CB125" s="38" t="n"/>
      <c r="CC125" s="38" t="n"/>
      <c r="CD125" s="38" t="n"/>
      <c r="CE125" s="38" t="n"/>
      <c r="CF125" s="38" t="n"/>
      <c r="CG125" s="38" t="n"/>
    </row>
    <row r="126" ht="15.5" customHeight="1">
      <c r="A126" s="43" t="n">
        <v>119</v>
      </c>
      <c r="B126" s="43" t="n"/>
      <c r="C126" s="43" t="n"/>
      <c r="D126" s="7" t="n"/>
      <c r="L126" s="7" t="n"/>
      <c r="N126" s="7" t="n"/>
      <c r="O126" s="7" t="n"/>
      <c r="P126" s="7" t="n"/>
      <c r="Y126" s="24" t="n"/>
      <c r="AH126" s="7" t="n"/>
      <c r="AJ126" s="7" t="n"/>
      <c r="AK126" s="7" t="n"/>
      <c r="AL126" s="7" t="n"/>
      <c r="AU126" s="31">
        <f>SUM(AA126:AL126)+(IF(AM126&lt;&gt;"",AM126,AN126))+(IF(AO126&lt;&gt;"",AO126,AP126))+(IF(AQ126&lt;&gt;"",AQ126,AR126))+(IF(AS126&lt;&gt;"",AS126,AT126))</f>
        <v/>
      </c>
      <c r="BD126" s="5" t="n"/>
      <c r="BE126" s="5" t="n"/>
      <c r="BF126" s="5" t="n"/>
      <c r="BG126" s="5" t="n"/>
      <c r="BH126" s="5" t="n"/>
      <c r="BI126" s="5" t="n"/>
      <c r="BJ126" s="25">
        <f>SUM(BD126:BI126)</f>
        <v/>
      </c>
      <c r="BT126" s="36">
        <f>SUMPRODUCT(($AW$5:$BQ$5="CO1")*AW126:BQ126)</f>
        <v/>
      </c>
      <c r="BU126" s="33">
        <f>SUMPRODUCT(($E$5:$BJ$5="CO2")*(ISNUMBER(L126:BQ126))*(L126:BQ126&gt;0), L126:BQ126)</f>
        <v/>
      </c>
      <c r="BV126" s="37">
        <f>SUMPRODUCT(($AW$5:$BR$5="CO3")*AW126:BR126)</f>
        <v/>
      </c>
      <c r="BW126" s="37">
        <f>SUMPRODUCT(($AW$5:$BR$5="CO4")*AW126:BR126)</f>
        <v/>
      </c>
      <c r="BX126" s="33">
        <f>SUMPRODUCT(($E$5:$BJ$5="CO5")*(ISNUMBER(L126:BQ126))*(L126:BQ126&gt;0), L126:BQ126)</f>
        <v/>
      </c>
      <c r="BY126" s="33">
        <f>SUMPRODUCT(($E$5:$BJ$5="CO6")*(ISNUMBER(L126:BQ126))*(L126:BQ126&gt;0), L126:BQ126)</f>
        <v/>
      </c>
      <c r="BZ126" s="33">
        <f>SUM(BT126:BY126)</f>
        <v/>
      </c>
      <c r="CB126" s="38" t="n"/>
      <c r="CC126" s="38" t="n"/>
      <c r="CD126" s="38" t="n"/>
      <c r="CE126" s="38" t="n"/>
      <c r="CF126" s="38" t="n"/>
      <c r="CG126" s="38" t="n"/>
    </row>
    <row r="127" ht="15.5" customHeight="1">
      <c r="A127" s="43" t="n">
        <v>120</v>
      </c>
      <c r="B127" s="43" t="n"/>
      <c r="C127" s="43" t="n"/>
      <c r="D127" s="7" t="n"/>
      <c r="L127" s="7" t="n"/>
      <c r="N127" s="7" t="n"/>
      <c r="O127" s="7" t="n"/>
      <c r="P127" s="7" t="n"/>
      <c r="Y127" s="24" t="n"/>
      <c r="AH127" s="7" t="n"/>
      <c r="AJ127" s="7" t="n"/>
      <c r="AK127" s="7" t="n"/>
      <c r="AL127" s="7" t="n"/>
      <c r="AU127" s="31">
        <f>SUM(AA127:AL127)+(IF(AM127&lt;&gt;"",AM127,AN127))+(IF(AO127&lt;&gt;"",AO127,AP127))+(IF(AQ127&lt;&gt;"",AQ127,AR127))+(IF(AS127&lt;&gt;"",AS127,AT127))</f>
        <v/>
      </c>
      <c r="BD127" s="5" t="n"/>
      <c r="BE127" s="5" t="n"/>
      <c r="BF127" s="5" t="n"/>
      <c r="BG127" s="5" t="n"/>
      <c r="BH127" s="5" t="n"/>
      <c r="BI127" s="5" t="n"/>
      <c r="BJ127" s="25">
        <f>SUM(BD127:BI127)</f>
        <v/>
      </c>
      <c r="BT127" s="36">
        <f>SUMPRODUCT(($AW$5:$BQ$5="CO1")*AW127:BQ127)</f>
        <v/>
      </c>
      <c r="BU127" s="33">
        <f>SUMPRODUCT(($E$5:$BJ$5="CO2")*(ISNUMBER(L127:BQ127))*(L127:BQ127&gt;0), L127:BQ127)</f>
        <v/>
      </c>
      <c r="BV127" s="37">
        <f>SUMPRODUCT(($AW$5:$BR$5="CO3")*AW127:BR127)</f>
        <v/>
      </c>
      <c r="BW127" s="37">
        <f>SUMPRODUCT(($AW$5:$BR$5="CO4")*AW127:BR127)</f>
        <v/>
      </c>
      <c r="BX127" s="33">
        <f>SUMPRODUCT(($E$5:$BJ$5="CO5")*(ISNUMBER(L127:BQ127))*(L127:BQ127&gt;0), L127:BQ127)</f>
        <v/>
      </c>
      <c r="BY127" s="33">
        <f>SUMPRODUCT(($E$5:$BJ$5="CO6")*(ISNUMBER(L127:BQ127))*(L127:BQ127&gt;0), L127:BQ127)</f>
        <v/>
      </c>
      <c r="BZ127" s="33">
        <f>SUM(BT127:BY127)</f>
        <v/>
      </c>
      <c r="CB127" s="38" t="n"/>
      <c r="CC127" s="38" t="n"/>
      <c r="CD127" s="38" t="n"/>
      <c r="CE127" s="38" t="n"/>
      <c r="CF127" s="38" t="n"/>
      <c r="CG127" s="38" t="n"/>
    </row>
    <row r="128" ht="15.5" customHeight="1">
      <c r="A128" s="43" t="n">
        <v>121</v>
      </c>
      <c r="B128" s="43" t="n"/>
      <c r="C128" s="43" t="n"/>
      <c r="D128" s="7" t="n"/>
      <c r="L128" s="7" t="n"/>
      <c r="N128" s="7" t="n"/>
      <c r="O128" s="7" t="n"/>
      <c r="P128" s="7" t="n"/>
      <c r="Y128" s="24" t="n"/>
      <c r="AH128" s="7" t="n"/>
      <c r="AJ128" s="7" t="n"/>
      <c r="AK128" s="7" t="n"/>
      <c r="AL128" s="7" t="n"/>
      <c r="AU128" s="31">
        <f>SUM(AA128:AL128)+(IF(AM128&lt;&gt;"",AM128,AN128))+(IF(AO128&lt;&gt;"",AO128,AP128))+(IF(AQ128&lt;&gt;"",AQ128,AR128))+(IF(AS128&lt;&gt;"",AS128,AT128))</f>
        <v/>
      </c>
      <c r="BD128" s="5" t="n"/>
      <c r="BE128" s="5" t="n"/>
      <c r="BF128" s="5" t="n"/>
      <c r="BG128" s="5" t="n"/>
      <c r="BH128" s="5" t="n"/>
      <c r="BI128" s="5" t="n"/>
      <c r="BJ128" s="25">
        <f>SUM(BD128:BI128)</f>
        <v/>
      </c>
      <c r="BT128" s="36">
        <f>SUMPRODUCT(($AW$5:$BQ$5="CO1")*AW128:BQ128)</f>
        <v/>
      </c>
      <c r="BU128" s="33">
        <f>SUMPRODUCT(($E$5:$BJ$5="CO2")*(ISNUMBER(L128:BQ128))*(L128:BQ128&gt;0), L128:BQ128)</f>
        <v/>
      </c>
      <c r="BV128" s="37">
        <f>SUMPRODUCT(($AW$5:$BR$5="CO3")*AW128:BR128)</f>
        <v/>
      </c>
      <c r="BW128" s="37">
        <f>SUMPRODUCT(($AW$5:$BR$5="CO4")*AW128:BR128)</f>
        <v/>
      </c>
      <c r="BX128" s="33">
        <f>SUMPRODUCT(($E$5:$BJ$5="CO5")*(ISNUMBER(L128:BQ128))*(L128:BQ128&gt;0), L128:BQ128)</f>
        <v/>
      </c>
      <c r="BY128" s="33">
        <f>SUMPRODUCT(($E$5:$BJ$5="CO6")*(ISNUMBER(L128:BQ128))*(L128:BQ128&gt;0), L128:BQ128)</f>
        <v/>
      </c>
      <c r="BZ128" s="33">
        <f>SUM(BT128:BY128)</f>
        <v/>
      </c>
      <c r="CB128" s="38" t="n"/>
      <c r="CC128" s="38" t="n"/>
      <c r="CD128" s="38" t="n"/>
      <c r="CE128" s="38" t="n"/>
      <c r="CF128" s="38" t="n"/>
      <c r="CG128" s="38" t="n"/>
    </row>
    <row r="129" ht="15.5" customHeight="1">
      <c r="A129" s="43" t="n">
        <v>122</v>
      </c>
      <c r="B129" s="43" t="n"/>
      <c r="C129" s="43" t="n"/>
      <c r="D129" s="7" t="n"/>
      <c r="L129" s="7" t="n"/>
      <c r="N129" s="7" t="n"/>
      <c r="O129" s="7" t="n"/>
      <c r="P129" s="7" t="n"/>
      <c r="Y129" s="24" t="n"/>
      <c r="AH129" s="7" t="n"/>
      <c r="AJ129" s="7" t="n"/>
      <c r="AK129" s="7" t="n"/>
      <c r="AL129" s="7" t="n"/>
      <c r="AU129" s="31">
        <f>SUM(AA129:AL129)+(IF(AM129&lt;&gt;"",AM129,AN129))+(IF(AO129&lt;&gt;"",AO129,AP129))+(IF(AQ129&lt;&gt;"",AQ129,AR129))+(IF(AS129&lt;&gt;"",AS129,AT129))</f>
        <v/>
      </c>
      <c r="BD129" s="5" t="n"/>
      <c r="BE129" s="5" t="n"/>
      <c r="BF129" s="5" t="n"/>
      <c r="BG129" s="5" t="n"/>
      <c r="BH129" s="5" t="n"/>
      <c r="BI129" s="5" t="n"/>
      <c r="BJ129" s="25">
        <f>SUM(BD129:BI129)</f>
        <v/>
      </c>
      <c r="BT129" s="36">
        <f>SUMPRODUCT(($AW$5:$BQ$5="CO1")*AW129:BQ129)</f>
        <v/>
      </c>
      <c r="BU129" s="33">
        <f>SUMPRODUCT(($E$5:$BJ$5="CO2")*(ISNUMBER(L129:BQ129))*(L129:BQ129&gt;0), L129:BQ129)</f>
        <v/>
      </c>
      <c r="BV129" s="37">
        <f>SUMPRODUCT(($AW$5:$BR$5="CO3")*AW129:BR129)</f>
        <v/>
      </c>
      <c r="BW129" s="37">
        <f>SUMPRODUCT(($AW$5:$BR$5="CO4")*AW129:BR129)</f>
        <v/>
      </c>
      <c r="BX129" s="33">
        <f>SUMPRODUCT(($E$5:$BJ$5="CO5")*(ISNUMBER(L129:BQ129))*(L129:BQ129&gt;0), L129:BQ129)</f>
        <v/>
      </c>
      <c r="BY129" s="33">
        <f>SUMPRODUCT(($E$5:$BJ$5="CO6")*(ISNUMBER(L129:BQ129))*(L129:BQ129&gt;0), L129:BQ129)</f>
        <v/>
      </c>
      <c r="BZ129" s="33">
        <f>SUM(BT129:BY129)</f>
        <v/>
      </c>
      <c r="CB129" s="38" t="n"/>
      <c r="CC129" s="38" t="n"/>
      <c r="CD129" s="38" t="n"/>
      <c r="CE129" s="38" t="n"/>
      <c r="CF129" s="38" t="n"/>
      <c r="CG129" s="38" t="n"/>
    </row>
    <row r="130" ht="15.5" customHeight="1">
      <c r="A130" s="43" t="n">
        <v>123</v>
      </c>
      <c r="B130" s="43" t="n"/>
      <c r="C130" s="43" t="n"/>
      <c r="D130" s="7" t="n"/>
      <c r="L130" s="7" t="n"/>
      <c r="N130" s="7" t="n"/>
      <c r="O130" s="7" t="n"/>
      <c r="P130" s="7" t="n"/>
      <c r="Y130" s="24" t="n"/>
      <c r="AH130" s="7" t="n"/>
      <c r="AJ130" s="7" t="n"/>
      <c r="AK130" s="7" t="n"/>
      <c r="AL130" s="7" t="n"/>
      <c r="AU130" s="31">
        <f>SUM(AA130:AL130)+(IF(AM130&lt;&gt;"",AM130,AN130))+(IF(AO130&lt;&gt;"",AO130,AP130))+(IF(AQ130&lt;&gt;"",AQ130,AR130))+(IF(AS130&lt;&gt;"",AS130,AT130))</f>
        <v/>
      </c>
      <c r="BD130" s="5" t="n"/>
      <c r="BE130" s="5" t="n"/>
      <c r="BF130" s="5" t="n"/>
      <c r="BG130" s="5" t="n"/>
      <c r="BH130" s="5" t="n"/>
      <c r="BI130" s="5" t="n"/>
      <c r="BJ130" s="25">
        <f>SUM(BD130:BI130)</f>
        <v/>
      </c>
      <c r="BT130" s="36">
        <f>SUMPRODUCT(($AW$5:$BQ$5="CO1")*AW130:BQ130)</f>
        <v/>
      </c>
      <c r="BU130" s="33">
        <f>SUMPRODUCT(($E$5:$BJ$5="CO2")*(ISNUMBER(L130:BQ130))*(L130:BQ130&gt;0), L130:BQ130)</f>
        <v/>
      </c>
      <c r="BV130" s="37">
        <f>SUMPRODUCT(($AW$5:$BR$5="CO3")*AW130:BR130)</f>
        <v/>
      </c>
      <c r="BW130" s="37">
        <f>SUMPRODUCT(($AW$5:$BR$5="CO4")*AW130:BR130)</f>
        <v/>
      </c>
      <c r="BX130" s="33">
        <f>SUMPRODUCT(($E$5:$BJ$5="CO5")*(ISNUMBER(L130:BQ130))*(L130:BQ130&gt;0), L130:BQ130)</f>
        <v/>
      </c>
      <c r="BY130" s="33">
        <f>SUMPRODUCT(($E$5:$BJ$5="CO6")*(ISNUMBER(L130:BQ130))*(L130:BQ130&gt;0), L130:BQ130)</f>
        <v/>
      </c>
      <c r="BZ130" s="33">
        <f>SUM(BT130:BY130)</f>
        <v/>
      </c>
      <c r="CB130" s="38" t="n"/>
      <c r="CC130" s="38" t="n"/>
      <c r="CD130" s="38" t="n"/>
      <c r="CE130" s="38" t="n"/>
      <c r="CF130" s="38" t="n"/>
      <c r="CG130" s="38" t="n"/>
    </row>
    <row r="131" ht="15.5" customHeight="1">
      <c r="A131" s="43" t="n">
        <v>124</v>
      </c>
      <c r="B131" s="43" t="n"/>
      <c r="C131" s="43" t="n"/>
      <c r="D131" s="7" t="n"/>
      <c r="L131" s="7" t="n"/>
      <c r="N131" s="7" t="n"/>
      <c r="O131" s="7" t="n"/>
      <c r="P131" s="7" t="n"/>
      <c r="Y131" s="24" t="n"/>
      <c r="AH131" s="7" t="n"/>
      <c r="AJ131" s="7" t="n"/>
      <c r="AK131" s="7" t="n"/>
      <c r="AL131" s="7" t="n"/>
      <c r="AU131" s="31">
        <f>SUM(AA131:AL131)+(IF(AM131&lt;&gt;"",AM131,AN131))+(IF(AO131&lt;&gt;"",AO131,AP131))+(IF(AQ131&lt;&gt;"",AQ131,AR131))+(IF(AS131&lt;&gt;"",AS131,AT131))</f>
        <v/>
      </c>
      <c r="BD131" s="5" t="n"/>
      <c r="BE131" s="5" t="n"/>
      <c r="BF131" s="5" t="n"/>
      <c r="BG131" s="5" t="n"/>
      <c r="BH131" s="5" t="n"/>
      <c r="BI131" s="5" t="n"/>
      <c r="BJ131" s="25">
        <f>SUM(BD131:BI131)</f>
        <v/>
      </c>
      <c r="BT131" s="36">
        <f>SUMPRODUCT(($AW$5:$BQ$5="CO1")*AW131:BQ131)</f>
        <v/>
      </c>
      <c r="BU131" s="33">
        <f>SUMPRODUCT(($E$5:$BJ$5="CO2")*(ISNUMBER(L131:BQ131))*(L131:BQ131&gt;0), L131:BQ131)</f>
        <v/>
      </c>
      <c r="BV131" s="37">
        <f>SUMPRODUCT(($AW$5:$BR$5="CO3")*AW131:BR131)</f>
        <v/>
      </c>
      <c r="BW131" s="37">
        <f>SUMPRODUCT(($AW$5:$BR$5="CO4")*AW131:BR131)</f>
        <v/>
      </c>
      <c r="BX131" s="33">
        <f>SUMPRODUCT(($E$5:$BJ$5="CO5")*(ISNUMBER(L131:BQ131))*(L131:BQ131&gt;0), L131:BQ131)</f>
        <v/>
      </c>
      <c r="BY131" s="33">
        <f>SUMPRODUCT(($E$5:$BJ$5="CO6")*(ISNUMBER(L131:BQ131))*(L131:BQ131&gt;0), L131:BQ131)</f>
        <v/>
      </c>
      <c r="BZ131" s="33">
        <f>SUM(BT131:BY131)</f>
        <v/>
      </c>
      <c r="CB131" s="38" t="n"/>
      <c r="CC131" s="38" t="n"/>
      <c r="CD131" s="38" t="n"/>
      <c r="CE131" s="38" t="n"/>
      <c r="CF131" s="38" t="n"/>
      <c r="CG131" s="38" t="n"/>
    </row>
    <row r="132" ht="15.5" customHeight="1">
      <c r="A132" s="43" t="n">
        <v>125</v>
      </c>
      <c r="B132" s="43" t="n"/>
      <c r="C132" s="43" t="n"/>
      <c r="D132" s="7" t="n"/>
      <c r="L132" s="7" t="n"/>
      <c r="N132" s="7" t="n"/>
      <c r="O132" s="7" t="n"/>
      <c r="P132" s="7" t="n"/>
      <c r="Y132" s="24" t="n"/>
      <c r="AH132" s="7" t="n"/>
      <c r="AJ132" s="7" t="n"/>
      <c r="AK132" s="7" t="n"/>
      <c r="AL132" s="7" t="n"/>
      <c r="AU132" s="31">
        <f>SUM(AA132:AL132)+(IF(AM132&lt;&gt;"",AM132,AN132))+(IF(AO132&lt;&gt;"",AO132,AP132))+(IF(AQ132&lt;&gt;"",AQ132,AR132))+(IF(AS132&lt;&gt;"",AS132,AT132))</f>
        <v/>
      </c>
      <c r="BT132" s="36">
        <f>SUMPRODUCT(($AW$5:$BQ$5="CO1")*AW132:BQ132)</f>
        <v/>
      </c>
      <c r="BU132" s="33">
        <f>SUMPRODUCT(($E$5:$BJ$5="CO2")*(ISNUMBER(L132:BQ132))*(L132:BQ132&gt;0), L132:BQ132)</f>
        <v/>
      </c>
      <c r="BV132" s="37">
        <f>SUMPRODUCT(($AW$5:$BR$5="CO3")*AW132:BR132)</f>
        <v/>
      </c>
      <c r="BW132" s="37">
        <f>SUMPRODUCT(($AW$5:$BR$5="CO4")*AW132:BR132)</f>
        <v/>
      </c>
      <c r="BX132" s="33">
        <f>SUMPRODUCT(($E$5:$BJ$5="CO5")*(ISNUMBER(L132:BQ132))*(L132:BQ132&gt;0), L132:BQ132)</f>
        <v/>
      </c>
      <c r="BY132" s="33">
        <f>SUMPRODUCT(($E$5:$BJ$5="CO6")*(ISNUMBER(L132:BQ132))*(L132:BQ132&gt;0), L132:BQ132)</f>
        <v/>
      </c>
      <c r="BZ132" s="33">
        <f>SUM(BT132:BY132)</f>
        <v/>
      </c>
      <c r="CB132" s="38" t="n"/>
      <c r="CC132" s="38" t="n"/>
      <c r="CD132" s="38" t="n"/>
      <c r="CE132" s="38" t="n"/>
      <c r="CF132" s="38" t="n"/>
      <c r="CG132" s="38" t="n"/>
    </row>
    <row r="133" ht="15.5" customHeight="1">
      <c r="A133" s="43" t="n">
        <v>126</v>
      </c>
      <c r="B133" s="43" t="n"/>
      <c r="C133" s="43" t="n"/>
      <c r="D133" s="7" t="n"/>
      <c r="L133" s="7" t="n"/>
      <c r="N133" s="7" t="n"/>
      <c r="O133" s="7" t="n"/>
      <c r="P133" s="7" t="n"/>
      <c r="Y133" s="24" t="n"/>
      <c r="AH133" s="7" t="n"/>
      <c r="AJ133" s="7" t="n"/>
      <c r="AK133" s="7" t="n"/>
      <c r="AL133" s="7" t="n"/>
      <c r="AU133" s="31">
        <f>SUM(AA133:AL133)+(IF(AM133&lt;&gt;"",AM133,AN133))+(IF(AO133&lt;&gt;"",AO133,AP133))+(IF(AQ133&lt;&gt;"",AQ133,AR133))+(IF(AS133&lt;&gt;"",AS133,AT133))</f>
        <v/>
      </c>
      <c r="BT133" s="36">
        <f>SUMPRODUCT(($AW$5:$BQ$5="CO1")*AW133:BQ133)</f>
        <v/>
      </c>
      <c r="BU133" s="33">
        <f>SUMPRODUCT(($E$5:$BJ$5="CO2")*(ISNUMBER(L133:BQ133))*(L133:BQ133&gt;0), L133:BQ133)</f>
        <v/>
      </c>
      <c r="BV133" s="37">
        <f>SUMPRODUCT(($AW$5:$BR$5="CO3")*AW133:BR133)</f>
        <v/>
      </c>
      <c r="BW133" s="37">
        <f>SUMPRODUCT(($AW$5:$BR$5="CO4")*AW133:BR133)</f>
        <v/>
      </c>
      <c r="BX133" s="33">
        <f>SUMPRODUCT(($E$5:$BJ$5="CO5")*(ISNUMBER(L133:BQ133))*(L133:BQ133&gt;0), L133:BQ133)</f>
        <v/>
      </c>
      <c r="BY133" s="33">
        <f>SUMPRODUCT(($E$5:$BJ$5="CO6")*(ISNUMBER(L133:BQ133))*(L133:BQ133&gt;0), L133:BQ133)</f>
        <v/>
      </c>
      <c r="BZ133" s="33">
        <f>SUM(BT133:BY133)</f>
        <v/>
      </c>
      <c r="CB133" s="38" t="n"/>
      <c r="CC133" s="38" t="n"/>
      <c r="CD133" s="38" t="n"/>
      <c r="CE133" s="38" t="n"/>
      <c r="CF133" s="38" t="n"/>
      <c r="CG133" s="38" t="n"/>
    </row>
    <row r="134" ht="15.5" customHeight="1">
      <c r="A134" s="43" t="n">
        <v>127</v>
      </c>
      <c r="B134" s="43" t="n"/>
      <c r="C134" s="43" t="n"/>
      <c r="D134" s="7" t="n"/>
      <c r="L134" s="7" t="n"/>
      <c r="N134" s="7" t="n"/>
      <c r="O134" s="7" t="n"/>
      <c r="P134" s="7" t="n"/>
      <c r="Y134" s="24" t="n"/>
      <c r="AH134" s="7" t="n"/>
      <c r="AJ134" s="7" t="n"/>
      <c r="AK134" s="7" t="n"/>
      <c r="AL134" s="7" t="n"/>
      <c r="AU134" s="31">
        <f>SUM(AA134:AL134)+(IF(AM134&lt;&gt;"",AM134,AN134))+(IF(AO134&lt;&gt;"",AO134,AP134))+(IF(AQ134&lt;&gt;"",AQ134,AR134))+(IF(AS134&lt;&gt;"",AS134,AT134))</f>
        <v/>
      </c>
      <c r="BT134" s="36">
        <f>SUMPRODUCT(($AW$5:$BQ$5="CO1")*AW134:BQ134)</f>
        <v/>
      </c>
      <c r="BU134" s="33">
        <f>SUMPRODUCT(($E$5:$BJ$5="CO2")*(ISNUMBER(L134:BQ134))*(L134:BQ134&gt;0), L134:BQ134)</f>
        <v/>
      </c>
      <c r="BV134" s="37">
        <f>SUMPRODUCT(($AW$5:$BR$5="CO3")*AW134:BR134)</f>
        <v/>
      </c>
      <c r="BW134" s="37">
        <f>SUMPRODUCT(($AW$5:$BR$5="CO4")*AW134:BR134)</f>
        <v/>
      </c>
      <c r="BX134" s="33">
        <f>SUMPRODUCT(($E$5:$BJ$5="CO5")*(ISNUMBER(L134:BQ134))*(L134:BQ134&gt;0), L134:BQ134)</f>
        <v/>
      </c>
      <c r="BY134" s="33">
        <f>SUMPRODUCT(($E$5:$BJ$5="CO6")*(ISNUMBER(L134:BQ134))*(L134:BQ134&gt;0), L134:BQ134)</f>
        <v/>
      </c>
      <c r="BZ134" s="33">
        <f>SUM(BT134:BY134)</f>
        <v/>
      </c>
      <c r="CB134" s="38" t="n"/>
      <c r="CC134" s="38" t="n"/>
      <c r="CD134" s="38" t="n"/>
      <c r="CE134" s="38" t="n"/>
      <c r="CF134" s="38" t="n"/>
      <c r="CG134" s="38" t="n"/>
    </row>
    <row r="135" ht="15.5" customHeight="1">
      <c r="A135" s="43" t="n">
        <v>128</v>
      </c>
      <c r="B135" s="43" t="n"/>
      <c r="C135" s="43" t="n"/>
      <c r="D135" s="7" t="n"/>
      <c r="L135" s="7" t="n"/>
      <c r="N135" s="7" t="n"/>
      <c r="O135" s="7" t="n"/>
      <c r="P135" s="7" t="n"/>
      <c r="Y135" s="24" t="n"/>
      <c r="AH135" s="7" t="n"/>
      <c r="AJ135" s="7" t="n"/>
      <c r="AK135" s="7" t="n"/>
      <c r="AL135" s="7" t="n"/>
      <c r="AU135" s="31">
        <f>SUM(AA135:AL135)+(IF(AM135&lt;&gt;"",AM135,AN135))+(IF(AO135&lt;&gt;"",AO135,AP135))+(IF(AQ135&lt;&gt;"",AQ135,AR135))+(IF(AS135&lt;&gt;"",AS135,AT135))</f>
        <v/>
      </c>
      <c r="BT135" s="36">
        <f>SUMPRODUCT(($AW$5:$BQ$5="CO1")*AW135:BQ135)</f>
        <v/>
      </c>
      <c r="BU135" s="33">
        <f>SUMPRODUCT(($E$5:$BJ$5="CO2")*(ISNUMBER(L135:BQ135))*(L135:BQ135&gt;0), L135:BQ135)</f>
        <v/>
      </c>
      <c r="BV135" s="37">
        <f>SUMPRODUCT(($AW$5:$BR$5="CO3")*AW135:BR135)</f>
        <v/>
      </c>
      <c r="BW135" s="37">
        <f>SUMPRODUCT(($AW$5:$BR$5="CO4")*AW135:BR135)</f>
        <v/>
      </c>
      <c r="BX135" s="33">
        <f>SUMPRODUCT(($E$5:$BJ$5="CO5")*(ISNUMBER(L135:BQ135))*(L135:BQ135&gt;0), L135:BQ135)</f>
        <v/>
      </c>
      <c r="BY135" s="33">
        <f>SUMPRODUCT(($E$5:$BJ$5="CO6")*(ISNUMBER(L135:BQ135))*(L135:BQ135&gt;0), L135:BQ135)</f>
        <v/>
      </c>
      <c r="BZ135" s="33">
        <f>SUM(BT135:BY135)</f>
        <v/>
      </c>
      <c r="CB135" s="38" t="n"/>
      <c r="CC135" s="38" t="n"/>
      <c r="CD135" s="38" t="n"/>
      <c r="CE135" s="38" t="n"/>
      <c r="CF135" s="38" t="n"/>
      <c r="CG135" s="38" t="n"/>
    </row>
    <row r="136" ht="15.5" customHeight="1">
      <c r="A136" s="43" t="n">
        <v>129</v>
      </c>
      <c r="B136" s="43" t="n"/>
      <c r="C136" s="43" t="n"/>
      <c r="D136" s="7" t="n"/>
      <c r="L136" s="7" t="n"/>
      <c r="N136" s="7" t="n"/>
      <c r="O136" s="7" t="n"/>
      <c r="P136" s="7" t="n"/>
      <c r="Y136" s="24" t="n"/>
      <c r="AH136" s="7" t="n"/>
      <c r="AJ136" s="7" t="n"/>
      <c r="AK136" s="7" t="n"/>
      <c r="AL136" s="7" t="n"/>
      <c r="AU136" s="31">
        <f>SUM(AA136:AL136)+(IF(AM136&lt;&gt;"",AM136,AN136))+(IF(AO136&lt;&gt;"",AO136,AP136))+(IF(AQ136&lt;&gt;"",AQ136,AR136))+(IF(AS136&lt;&gt;"",AS136,AT136))</f>
        <v/>
      </c>
      <c r="BT136" s="36">
        <f>SUMPRODUCT(($AW$5:$BQ$5="CO1")*AW136:BQ136)</f>
        <v/>
      </c>
      <c r="BU136" s="33">
        <f>SUMPRODUCT(($E$5:$BJ$5="CO2")*(ISNUMBER(L136:BQ136))*(L136:BQ136&gt;0), L136:BQ136)</f>
        <v/>
      </c>
      <c r="BV136" s="37">
        <f>SUMPRODUCT(($AW$5:$BR$5="CO3")*AW136:BR136)</f>
        <v/>
      </c>
      <c r="BW136" s="37">
        <f>SUMPRODUCT(($AW$5:$BR$5="CO4")*AW136:BR136)</f>
        <v/>
      </c>
      <c r="BX136" s="33">
        <f>SUMPRODUCT(($E$5:$BJ$5="CO5")*(ISNUMBER(L136:BQ136))*(L136:BQ136&gt;0), L136:BQ136)</f>
        <v/>
      </c>
      <c r="BY136" s="33">
        <f>SUMPRODUCT(($E$5:$BJ$5="CO6")*(ISNUMBER(L136:BQ136))*(L136:BQ136&gt;0), L136:BQ136)</f>
        <v/>
      </c>
      <c r="BZ136" s="33">
        <f>SUM(BT136:BY136)</f>
        <v/>
      </c>
      <c r="CB136" s="38" t="n"/>
      <c r="CC136" s="38" t="n"/>
      <c r="CD136" s="38" t="n"/>
      <c r="CE136" s="38" t="n"/>
      <c r="CF136" s="38" t="n"/>
      <c r="CG136" s="38" t="n"/>
    </row>
    <row r="137" ht="15.5" customHeight="1">
      <c r="A137" s="43" t="n">
        <v>130</v>
      </c>
      <c r="B137" s="43" t="n"/>
      <c r="C137" s="43" t="n"/>
      <c r="D137" s="7" t="n"/>
      <c r="L137" s="7" t="n"/>
      <c r="N137" s="7" t="n"/>
      <c r="O137" s="7" t="n"/>
      <c r="P137" s="7" t="n"/>
      <c r="Y137" s="24" t="n"/>
      <c r="AH137" s="7" t="n"/>
      <c r="AJ137" s="7" t="n"/>
      <c r="AK137" s="7" t="n"/>
      <c r="AL137" s="7" t="n"/>
      <c r="AU137" s="31">
        <f>SUM(AA137:AL137)+(IF(AM137&lt;&gt;"",AM137,AN137))+(IF(AO137&lt;&gt;"",AO137,AP137))+(IF(AQ137&lt;&gt;"",AQ137,AR137))+(IF(AS137&lt;&gt;"",AS137,AT137))</f>
        <v/>
      </c>
      <c r="BT137" s="36">
        <f>SUMPRODUCT(($AW$5:$BQ$5="CO1")*AW137:BQ137)</f>
        <v/>
      </c>
      <c r="BU137" s="33">
        <f>SUMPRODUCT(($E$5:$BJ$5="CO2")*(ISNUMBER(L137:BQ137))*(L137:BQ137&gt;0), L137:BQ137)</f>
        <v/>
      </c>
      <c r="BV137" s="37">
        <f>SUMPRODUCT(($AW$5:$BR$5="CO3")*AW137:BR137)</f>
        <v/>
      </c>
      <c r="BW137" s="37">
        <f>SUMPRODUCT(($AW$5:$BR$5="CO4")*AW137:BR137)</f>
        <v/>
      </c>
      <c r="BX137" s="33">
        <f>SUMPRODUCT(($E$5:$BJ$5="CO5")*(ISNUMBER(L137:BQ137))*(L137:BQ137&gt;0), L137:BQ137)</f>
        <v/>
      </c>
      <c r="BY137" s="33">
        <f>SUMPRODUCT(($E$5:$BJ$5="CO6")*(ISNUMBER(L137:BQ137))*(L137:BQ137&gt;0), L137:BQ137)</f>
        <v/>
      </c>
      <c r="BZ137" s="33">
        <f>SUM(BT137:BY137)</f>
        <v/>
      </c>
      <c r="CB137" s="38" t="n"/>
      <c r="CC137" s="38" t="n"/>
      <c r="CD137" s="38" t="n"/>
      <c r="CE137" s="38" t="n"/>
      <c r="CF137" s="38" t="n"/>
      <c r="CG137" s="38" t="n"/>
    </row>
    <row r="138" ht="15.5" customHeight="1">
      <c r="A138" s="43" t="n">
        <v>131</v>
      </c>
      <c r="B138" s="43" t="n"/>
      <c r="C138" s="43" t="n"/>
      <c r="D138" s="7" t="n"/>
      <c r="L138" s="7" t="n"/>
      <c r="N138" s="7" t="n"/>
      <c r="O138" s="7" t="n"/>
      <c r="P138" s="7" t="n"/>
      <c r="Y138" s="24" t="n"/>
      <c r="AH138" s="7" t="n"/>
      <c r="AJ138" s="7" t="n"/>
      <c r="AK138" s="7" t="n"/>
      <c r="AL138" s="7" t="n"/>
      <c r="AU138" s="31">
        <f>SUM(AA138:AL138)+(IF(AM138&lt;&gt;"",AM138,AN138))+(IF(AO138&lt;&gt;"",AO138,AP138))+(IF(AQ138&lt;&gt;"",AQ138,AR138))+(IF(AS138&lt;&gt;"",AS138,AT138))</f>
        <v/>
      </c>
      <c r="BT138" s="36">
        <f>SUMPRODUCT(($AW$5:$BQ$5="CO1")*AW138:BQ138)</f>
        <v/>
      </c>
      <c r="BU138" s="33">
        <f>SUMPRODUCT(($E$5:$BJ$5="CO2")*(ISNUMBER(L138:BQ138))*(L138:BQ138&gt;0), L138:BQ138)</f>
        <v/>
      </c>
      <c r="BV138" s="37">
        <f>SUMPRODUCT(($AW$5:$BR$5="CO3")*AW138:BR138)</f>
        <v/>
      </c>
      <c r="BW138" s="37">
        <f>SUMPRODUCT(($AW$5:$BR$5="CO4")*AW138:BR138)</f>
        <v/>
      </c>
      <c r="BX138" s="33">
        <f>SUMPRODUCT(($E$5:$BJ$5="CO5")*(ISNUMBER(L138:BQ138))*(L138:BQ138&gt;0), L138:BQ138)</f>
        <v/>
      </c>
      <c r="BY138" s="33">
        <f>SUMPRODUCT(($E$5:$BJ$5="CO6")*(ISNUMBER(L138:BQ138))*(L138:BQ138&gt;0), L138:BQ138)</f>
        <v/>
      </c>
      <c r="BZ138" s="33">
        <f>SUM(BT138:BY138)</f>
        <v/>
      </c>
      <c r="CB138" s="38" t="n"/>
      <c r="CC138" s="38" t="n"/>
      <c r="CD138" s="38" t="n"/>
      <c r="CE138" s="38" t="n"/>
      <c r="CF138" s="38" t="n"/>
      <c r="CG138" s="38" t="n"/>
    </row>
    <row r="139" ht="15.5" customHeight="1">
      <c r="A139" s="43" t="n">
        <v>132</v>
      </c>
      <c r="B139" s="43" t="n"/>
      <c r="C139" s="43" t="n"/>
      <c r="D139" s="7" t="n"/>
      <c r="L139" s="7" t="n"/>
      <c r="N139" s="7" t="n"/>
      <c r="O139" s="7" t="n"/>
      <c r="P139" s="7" t="n"/>
      <c r="Y139" s="24" t="n"/>
      <c r="AH139" s="7" t="n"/>
      <c r="AJ139" s="7" t="n"/>
      <c r="AK139" s="7" t="n"/>
      <c r="AL139" s="7" t="n"/>
      <c r="AU139" s="31">
        <f>SUM(AA139:AL139)+(IF(AM139&lt;&gt;"",AM139,AN139))+(IF(AO139&lt;&gt;"",AO139,AP139))+(IF(AQ139&lt;&gt;"",AQ139,AR139))+(IF(AS139&lt;&gt;"",AS139,AT139))</f>
        <v/>
      </c>
      <c r="BT139" s="36">
        <f>SUMPRODUCT(($AW$5:$BQ$5="CO1")*AW139:BQ139)</f>
        <v/>
      </c>
      <c r="BU139" s="33">
        <f>SUMPRODUCT(($E$5:$BJ$5="CO2")*(ISNUMBER(L139:BQ139))*(L139:BQ139&gt;0), L139:BQ139)</f>
        <v/>
      </c>
      <c r="BV139" s="33">
        <f>SUMPRODUCT(($E$5:$BJ$5="CO3")*(ISNUMBER(L139:BQ139))*(L139:BQ139&gt;0), L139:BQ139)</f>
        <v/>
      </c>
      <c r="BW139" s="37">
        <f>SUMPRODUCT(($AW$5:$BR$5="CO4")*AW139:BR139)</f>
        <v/>
      </c>
      <c r="BX139" s="33">
        <f>SUMPRODUCT(($E$5:$BJ$5="CO5")*(ISNUMBER(L139:BQ139))*(L139:BQ139&gt;0), L139:BQ139)</f>
        <v/>
      </c>
      <c r="BY139" s="33">
        <f>SUMPRODUCT(($E$5:$BJ$5="CO6")*(ISNUMBER(L139:BQ139))*(L139:BQ139&gt;0), L139:BQ139)</f>
        <v/>
      </c>
      <c r="BZ139" s="33">
        <f>SUM(BT139:BY139)</f>
        <v/>
      </c>
      <c r="CB139" s="38" t="n"/>
      <c r="CC139" s="38" t="n"/>
      <c r="CD139" s="38" t="n"/>
      <c r="CE139" s="38" t="n"/>
      <c r="CF139" s="38" t="n"/>
      <c r="CG139" s="38" t="n"/>
    </row>
    <row r="140" ht="15.5" customHeight="1">
      <c r="A140" s="43" t="n">
        <v>133</v>
      </c>
      <c r="B140" s="43" t="n"/>
      <c r="C140" s="43" t="n"/>
      <c r="D140" s="7" t="n"/>
      <c r="L140" s="7" t="n"/>
      <c r="N140" s="7" t="n"/>
      <c r="O140" s="7" t="n"/>
      <c r="P140" s="7" t="n"/>
      <c r="Y140" s="24" t="n"/>
      <c r="AH140" s="7" t="n"/>
      <c r="AJ140" s="7" t="n"/>
      <c r="AK140" s="7" t="n"/>
      <c r="AL140" s="7" t="n"/>
      <c r="AU140" s="31">
        <f>SUM(AA140:AL140)+(IF(AM140&lt;&gt;"",AM140,AN140))+(IF(AO140&lt;&gt;"",AO140,AP140))+(IF(AQ140&lt;&gt;"",AQ140,AR140))+(IF(AS140&lt;&gt;"",AS140,AT140))</f>
        <v/>
      </c>
      <c r="BT140" s="36">
        <f>SUMPRODUCT(($AW$5:$BQ$5="CO1")*AW140:BQ140)</f>
        <v/>
      </c>
      <c r="BU140" s="33">
        <f>SUMPRODUCT(($E$5:$BJ$5="CO2")*(ISNUMBER(L140:BQ140))*(L140:BQ140&gt;0), L140:BQ140)</f>
        <v/>
      </c>
      <c r="BV140" s="33">
        <f>SUMPRODUCT(($E$5:$BJ$5="CO3")*(ISNUMBER(L140:BQ140))*(L140:BQ140&gt;0), L140:BQ140)</f>
        <v/>
      </c>
      <c r="BW140" s="37">
        <f>SUMPRODUCT(($AW$5:$BR$5="CO4")*AW140:BR140)</f>
        <v/>
      </c>
      <c r="BX140" s="33">
        <f>SUMPRODUCT(($E$5:$BJ$5="CO5")*(ISNUMBER(L140:BQ140))*(L140:BQ140&gt;0), L140:BQ140)</f>
        <v/>
      </c>
      <c r="BY140" s="33">
        <f>SUMPRODUCT(($E$5:$BJ$5="CO6")*(ISNUMBER(L140:BQ140))*(L140:BQ140&gt;0), L140:BQ140)</f>
        <v/>
      </c>
      <c r="BZ140" s="33">
        <f>SUM(BT140:BY140)</f>
        <v/>
      </c>
      <c r="CB140" s="38" t="n"/>
      <c r="CC140" s="38" t="n"/>
      <c r="CD140" s="38" t="n"/>
      <c r="CE140" s="38" t="n"/>
      <c r="CF140" s="38" t="n"/>
      <c r="CG140" s="38" t="n"/>
    </row>
    <row r="141" ht="15.5" customHeight="1">
      <c r="A141" s="43" t="n">
        <v>134</v>
      </c>
      <c r="B141" s="43" t="n"/>
      <c r="C141" s="43" t="n"/>
      <c r="D141" s="7" t="n"/>
      <c r="L141" s="7" t="n"/>
      <c r="N141" s="7" t="n"/>
      <c r="O141" s="7" t="n"/>
      <c r="P141" s="7" t="n"/>
      <c r="Y141" s="24" t="n"/>
      <c r="AH141" s="7" t="n"/>
      <c r="AJ141" s="7" t="n"/>
      <c r="AK141" s="7" t="n"/>
      <c r="AL141" s="7" t="n"/>
      <c r="AU141" s="31">
        <f>SUM(AA141:AL141)+(IF(AM141&lt;&gt;"",AM141,AN141))+(IF(AO141&lt;&gt;"",AO141,AP141))+(IF(AQ141&lt;&gt;"",AQ141,AR141))+(IF(AS141&lt;&gt;"",AS141,AT141))</f>
        <v/>
      </c>
      <c r="BT141" s="36">
        <f>SUMPRODUCT(($AW$5:$BQ$5="CO1")*AW141:BQ141)</f>
        <v/>
      </c>
      <c r="BU141" s="33">
        <f>SUMPRODUCT(($E$5:$BJ$5="CO2")*(ISNUMBER(L141:BQ141))*(L141:BQ141&gt;0), L141:BQ141)</f>
        <v/>
      </c>
      <c r="BV141" s="33">
        <f>SUMPRODUCT(($E$5:$BJ$5="CO3")*(ISNUMBER(L141:BQ141))*(L141:BQ141&gt;0), L141:BQ141)</f>
        <v/>
      </c>
      <c r="BW141" s="37">
        <f>SUMPRODUCT(($AW$5:$BR$5="CO4")*AW141:BR141)</f>
        <v/>
      </c>
      <c r="BX141" s="33">
        <f>SUMPRODUCT(($E$5:$BJ$5="CO5")*(ISNUMBER(L141:BQ141))*(L141:BQ141&gt;0), L141:BQ141)</f>
        <v/>
      </c>
      <c r="BY141" s="33">
        <f>SUMPRODUCT(($E$5:$BJ$5="CO6")*(ISNUMBER(L141:BQ141))*(L141:BQ141&gt;0), L141:BQ141)</f>
        <v/>
      </c>
      <c r="BZ141" s="33">
        <f>SUM(BT141:BY141)</f>
        <v/>
      </c>
      <c r="CB141" s="38" t="n"/>
      <c r="CC141" s="38" t="n"/>
      <c r="CD141" s="38" t="n"/>
      <c r="CE141" s="38" t="n"/>
      <c r="CF141" s="38" t="n"/>
      <c r="CG141" s="38" t="n"/>
    </row>
    <row r="142" ht="15.5" customHeight="1">
      <c r="A142" s="43" t="n">
        <v>135</v>
      </c>
      <c r="B142" s="43" t="n"/>
      <c r="C142" s="43" t="n"/>
      <c r="D142" s="7" t="n"/>
      <c r="L142" s="7" t="n"/>
      <c r="N142" s="7" t="n"/>
      <c r="O142" s="7" t="n"/>
      <c r="P142" s="7" t="n"/>
      <c r="Y142" s="24" t="n"/>
      <c r="AH142" s="7" t="n"/>
      <c r="AJ142" s="7" t="n"/>
      <c r="AK142" s="7" t="n"/>
      <c r="AL142" s="7" t="n"/>
      <c r="AU142" s="31">
        <f>SUM(AA142:AL142)+(IF(AM142&lt;&gt;"",AM142,AN142))+(IF(AO142&lt;&gt;"",AO142,AP142))+(IF(AQ142&lt;&gt;"",AQ142,AR142))+(IF(AS142&lt;&gt;"",AS142,AT142))</f>
        <v/>
      </c>
      <c r="BT142" s="36">
        <f>SUMPRODUCT(($AW$5:$BQ$5="CO1")*AW142:BQ142)</f>
        <v/>
      </c>
      <c r="BU142" s="33">
        <f>SUMPRODUCT(($E$5:$BJ$5="CO2")*(ISNUMBER(L142:BQ142))*(L142:BQ142&gt;0), L142:BQ142)</f>
        <v/>
      </c>
      <c r="BV142" s="33">
        <f>SUMPRODUCT(($E$5:$BJ$5="CO3")*(ISNUMBER(L142:BQ142))*(L142:BQ142&gt;0), L142:BQ142)</f>
        <v/>
      </c>
      <c r="BW142" s="37">
        <f>SUMPRODUCT(($AW$5:$BR$5="CO4")*AW142:BR142)</f>
        <v/>
      </c>
      <c r="BX142" s="33">
        <f>SUMPRODUCT(($E$5:$BJ$5="CO5")*(ISNUMBER(L142:BQ142))*(L142:BQ142&gt;0), L142:BQ142)</f>
        <v/>
      </c>
      <c r="BY142" s="33">
        <f>SUMPRODUCT(($E$5:$BJ$5="CO6")*(ISNUMBER(L142:BQ142))*(L142:BQ142&gt;0), L142:BQ142)</f>
        <v/>
      </c>
      <c r="BZ142" s="33">
        <f>SUM(BT142:BY142)</f>
        <v/>
      </c>
      <c r="CB142" s="38" t="n"/>
      <c r="CC142" s="38" t="n"/>
      <c r="CD142" s="38" t="n"/>
      <c r="CE142" s="38" t="n"/>
      <c r="CF142" s="38" t="n"/>
      <c r="CG142" s="38" t="n"/>
    </row>
    <row r="143" ht="15.5" customHeight="1">
      <c r="A143" s="43" t="n">
        <v>136</v>
      </c>
      <c r="B143" s="43" t="n"/>
      <c r="C143" s="43" t="n"/>
      <c r="D143" s="7" t="n"/>
      <c r="L143" s="7" t="n"/>
      <c r="N143" s="7" t="n"/>
      <c r="O143" s="7" t="n"/>
      <c r="P143" s="7" t="n"/>
      <c r="Y143" s="24" t="n"/>
      <c r="AH143" s="7" t="n"/>
      <c r="AJ143" s="7" t="n"/>
      <c r="AK143" s="7" t="n"/>
      <c r="AL143" s="7" t="n"/>
      <c r="AU143" s="31">
        <f>SUM(AA143:AL143)+(IF(AM143&lt;&gt;"",AM143,AN143))+(IF(AO143&lt;&gt;"",AO143,AP143))+(IF(AQ143&lt;&gt;"",AQ143,AR143))+(IF(AS143&lt;&gt;"",AS143,AT143))</f>
        <v/>
      </c>
      <c r="BT143" s="36">
        <f>SUMPRODUCT(($AW$5:$BQ$5="CO1")*AW143:BQ143)</f>
        <v/>
      </c>
      <c r="BU143" s="33">
        <f>SUMPRODUCT(($E$5:$BJ$5="CO2")*(ISNUMBER(L143:BQ143))*(L143:BQ143&gt;0), L143:BQ143)</f>
        <v/>
      </c>
      <c r="BV143" s="33">
        <f>SUMPRODUCT(($E$5:$BJ$5="CO3")*(ISNUMBER(L143:BQ143))*(L143:BQ143&gt;0), L143:BQ143)</f>
        <v/>
      </c>
      <c r="BW143" s="37">
        <f>SUMPRODUCT(($AW$5:$BR$5="CO4")*AW143:BR143)</f>
        <v/>
      </c>
      <c r="BX143" s="33">
        <f>SUMPRODUCT(($E$5:$BJ$5="CO5")*(ISNUMBER(L143:BQ143))*(L143:BQ143&gt;0), L143:BQ143)</f>
        <v/>
      </c>
      <c r="BY143" s="33">
        <f>SUMPRODUCT(($E$5:$BJ$5="CO6")*(ISNUMBER(L143:BQ143))*(L143:BQ143&gt;0), L143:BQ143)</f>
        <v/>
      </c>
      <c r="BZ143" s="33">
        <f>SUM(BT143:BY143)</f>
        <v/>
      </c>
      <c r="CB143" s="38" t="n"/>
      <c r="CC143" s="38" t="n"/>
      <c r="CD143" s="38" t="n"/>
      <c r="CE143" s="38" t="n"/>
      <c r="CF143" s="38" t="n"/>
      <c r="CG143" s="38" t="n"/>
    </row>
    <row r="144" ht="15.5" customHeight="1">
      <c r="A144" s="43" t="n">
        <v>137</v>
      </c>
      <c r="B144" s="43" t="n"/>
      <c r="C144" s="43" t="n"/>
      <c r="D144" s="7" t="n"/>
      <c r="L144" s="7" t="n"/>
      <c r="N144" s="7" t="n"/>
      <c r="O144" s="7" t="n"/>
      <c r="P144" s="7" t="n"/>
      <c r="Y144" s="24" t="n"/>
      <c r="AH144" s="7" t="n"/>
      <c r="AJ144" s="7" t="n"/>
      <c r="AK144" s="7" t="n"/>
      <c r="AL144" s="7" t="n"/>
      <c r="AU144" s="31">
        <f>SUM(AA144:AL144)+(IF(AM144&lt;&gt;"",AM144,AN144))+(IF(AO144&lt;&gt;"",AO144,AP144))+(IF(AQ144&lt;&gt;"",AQ144,AR144))+(IF(AS144&lt;&gt;"",AS144,AT144))</f>
        <v/>
      </c>
      <c r="BT144" s="36">
        <f>SUMPRODUCT(($AW$5:$BQ$5="CO1")*AW144:BQ144)</f>
        <v/>
      </c>
      <c r="BU144" s="33">
        <f>SUMPRODUCT(($E$5:$BJ$5="CO2")*(ISNUMBER(L144:BQ144))*(L144:BQ144&gt;0), L144:BQ144)</f>
        <v/>
      </c>
      <c r="BV144" s="33">
        <f>SUMPRODUCT(($E$5:$BJ$5="CO3")*(ISNUMBER(L144:BQ144))*(L144:BQ144&gt;0), L144:BQ144)</f>
        <v/>
      </c>
      <c r="BW144" s="37">
        <f>SUMPRODUCT(($AW$5:$BR$5="CO4")*AW144:BR144)</f>
        <v/>
      </c>
      <c r="BX144" s="33">
        <f>SUMPRODUCT(($E$5:$BJ$5="CO5")*(ISNUMBER(L144:BQ144))*(L144:BQ144&gt;0), L144:BQ144)</f>
        <v/>
      </c>
      <c r="BY144" s="33">
        <f>SUMPRODUCT(($E$5:$BJ$5="CO6")*(ISNUMBER(L144:BQ144))*(L144:BQ144&gt;0), L144:BQ144)</f>
        <v/>
      </c>
      <c r="BZ144" s="33">
        <f>SUM(BT144:BY144)</f>
        <v/>
      </c>
      <c r="CB144" s="38" t="n"/>
      <c r="CC144" s="38" t="n"/>
      <c r="CD144" s="38" t="n"/>
      <c r="CE144" s="38" t="n"/>
      <c r="CF144" s="38" t="n"/>
      <c r="CG144" s="38" t="n"/>
    </row>
    <row r="145" ht="15.5" customHeight="1">
      <c r="A145" s="43" t="n">
        <v>138</v>
      </c>
      <c r="B145" s="43" t="n"/>
      <c r="C145" s="43" t="n"/>
      <c r="D145" s="7" t="n"/>
      <c r="L145" s="7" t="n"/>
      <c r="N145" s="7" t="n"/>
      <c r="O145" s="7" t="n"/>
      <c r="P145" s="7" t="n"/>
      <c r="Y145" s="24" t="n"/>
      <c r="AH145" s="7" t="n"/>
      <c r="AJ145" s="7" t="n"/>
      <c r="AK145" s="7" t="n"/>
      <c r="AL145" s="7" t="n"/>
      <c r="AU145" s="31">
        <f>SUM(AA145:AL145)+(IF(AM145&lt;&gt;"",AM145,AN145))+(IF(AO145&lt;&gt;"",AO145,AP145))+(IF(AQ145&lt;&gt;"",AQ145,AR145))+(IF(AS145&lt;&gt;"",AS145,AT145))</f>
        <v/>
      </c>
      <c r="BT145" s="36">
        <f>SUMPRODUCT(($AW$5:$BQ$5="CO1")*AW145:BQ145)</f>
        <v/>
      </c>
      <c r="BU145" s="33">
        <f>SUMPRODUCT(($E$5:$BJ$5="CO2")*(ISNUMBER(L145:BQ145))*(L145:BQ145&gt;0), L145:BQ145)</f>
        <v/>
      </c>
      <c r="BV145" s="33">
        <f>SUMPRODUCT(($E$5:$BJ$5="CO3")*(ISNUMBER(L145:BQ145))*(L145:BQ145&gt;0), L145:BQ145)</f>
        <v/>
      </c>
      <c r="BW145" s="37">
        <f>SUMPRODUCT(($AW$5:$BR$5="CO4")*AW145:BR145)</f>
        <v/>
      </c>
      <c r="BX145" s="33">
        <f>SUMPRODUCT(($E$5:$BJ$5="CO5")*(ISNUMBER(L145:BQ145))*(L145:BQ145&gt;0), L145:BQ145)</f>
        <v/>
      </c>
      <c r="BY145" s="33">
        <f>SUMPRODUCT(($E$5:$BJ$5="CO6")*(ISNUMBER(L145:BQ145))*(L145:BQ145&gt;0), L145:BQ145)</f>
        <v/>
      </c>
      <c r="BZ145" s="33">
        <f>SUM(BT145:BY145)</f>
        <v/>
      </c>
      <c r="CB145" s="38" t="n"/>
      <c r="CC145" s="38" t="n"/>
      <c r="CD145" s="38" t="n"/>
      <c r="CE145" s="38" t="n"/>
      <c r="CF145" s="38" t="n"/>
      <c r="CG145" s="38" t="n"/>
    </row>
    <row r="146" ht="15.5" customHeight="1">
      <c r="A146" s="43" t="n">
        <v>139</v>
      </c>
      <c r="B146" s="43" t="n"/>
      <c r="C146" s="43" t="n"/>
      <c r="D146" s="7" t="n"/>
      <c r="L146" s="7" t="n"/>
      <c r="N146" s="7" t="n"/>
      <c r="O146" s="7" t="n"/>
      <c r="P146" s="7" t="n"/>
      <c r="Y146" s="24" t="n"/>
      <c r="AH146" s="7" t="n"/>
      <c r="AJ146" s="7" t="n"/>
      <c r="AK146" s="7" t="n"/>
      <c r="AL146" s="7" t="n"/>
      <c r="AU146" s="31">
        <f>SUM(AA146:AL146)+(IF(AM146&lt;&gt;"",AM146,AN146))+(IF(AO146&lt;&gt;"",AO146,AP146))+(IF(AQ146&lt;&gt;"",AQ146,AR146))+(IF(AS146&lt;&gt;"",AS146,AT146))</f>
        <v/>
      </c>
      <c r="BT146" s="36">
        <f>SUMPRODUCT(($AW$5:$BQ$5="CO1")*AW146:BQ146)</f>
        <v/>
      </c>
      <c r="BU146" s="33">
        <f>SUMPRODUCT(($E$5:$BJ$5="CO2")*(ISNUMBER(L146:BQ146))*(L146:BQ146&gt;0), L146:BQ146)</f>
        <v/>
      </c>
      <c r="BV146" s="33">
        <f>SUMPRODUCT(($E$5:$BJ$5="CO3")*(ISNUMBER(L146:BQ146))*(L146:BQ146&gt;0), L146:BQ146)</f>
        <v/>
      </c>
      <c r="BW146" s="37">
        <f>SUMPRODUCT(($AW$5:$BR$5="CO4")*AW146:BR146)</f>
        <v/>
      </c>
      <c r="BX146" s="33">
        <f>SUMPRODUCT(($E$5:$BJ$5="CO5")*(ISNUMBER(L146:BQ146))*(L146:BQ146&gt;0), L146:BQ146)</f>
        <v/>
      </c>
      <c r="BY146" s="33">
        <f>SUMPRODUCT(($E$5:$BJ$5="CO6")*(ISNUMBER(L146:BQ146))*(L146:BQ146&gt;0), L146:BQ146)</f>
        <v/>
      </c>
      <c r="BZ146" s="33">
        <f>SUM(BT146:BY146)</f>
        <v/>
      </c>
      <c r="CB146" s="38" t="n"/>
      <c r="CC146" s="38" t="n"/>
      <c r="CD146" s="38" t="n"/>
      <c r="CE146" s="38" t="n"/>
      <c r="CF146" s="38" t="n"/>
      <c r="CG146" s="38" t="n"/>
    </row>
    <row r="147" ht="15.5" customHeight="1">
      <c r="A147" s="43" t="n">
        <v>140</v>
      </c>
      <c r="B147" s="43" t="n"/>
      <c r="C147" s="43" t="n"/>
      <c r="D147" s="7" t="n"/>
      <c r="L147" s="7" t="n"/>
      <c r="N147" s="7" t="n"/>
      <c r="O147" s="7" t="n"/>
      <c r="P147" s="7" t="n"/>
      <c r="Y147" s="24" t="n"/>
      <c r="AH147" s="7" t="n"/>
      <c r="AJ147" s="7" t="n"/>
      <c r="AK147" s="7" t="n"/>
      <c r="AL147" s="7" t="n"/>
      <c r="AU147" s="31">
        <f>SUM(AA147:AL147)+(IF(AM147&lt;&gt;"",AM147,AN147))+(IF(AO147&lt;&gt;"",AO147,AP147))+(IF(AQ147&lt;&gt;"",AQ147,AR147))+(IF(AS147&lt;&gt;"",AS147,AT147))</f>
        <v/>
      </c>
      <c r="BT147" s="36">
        <f>SUMPRODUCT(($AW$5:$BQ$5="CO1")*AW147:BQ147)</f>
        <v/>
      </c>
      <c r="BU147" s="33">
        <f>SUMPRODUCT(($E$5:$BJ$5="CO2")*(ISNUMBER(L147:BQ147))*(L147:BQ147&gt;0), L147:BQ147)</f>
        <v/>
      </c>
      <c r="BV147" s="33">
        <f>SUMPRODUCT(($E$5:$BJ$5="CO3")*(ISNUMBER(L147:BQ147))*(L147:BQ147&gt;0), L147:BQ147)</f>
        <v/>
      </c>
      <c r="BW147" s="37">
        <f>SUMPRODUCT(($AW$5:$BR$5="CO4")*AW147:BR147)</f>
        <v/>
      </c>
      <c r="BX147" s="33">
        <f>SUMPRODUCT(($E$5:$BJ$5="CO5")*(ISNUMBER(L147:BQ147))*(L147:BQ147&gt;0), L147:BQ147)</f>
        <v/>
      </c>
      <c r="BY147" s="33">
        <f>SUMPRODUCT(($E$5:$BJ$5="CO6")*(ISNUMBER(L147:BQ147))*(L147:BQ147&gt;0), L147:BQ147)</f>
        <v/>
      </c>
      <c r="BZ147" s="33">
        <f>SUM(BT147:BY147)</f>
        <v/>
      </c>
      <c r="CB147" s="38" t="n"/>
      <c r="CC147" s="38" t="n"/>
      <c r="CD147" s="38" t="n"/>
      <c r="CE147" s="38" t="n"/>
      <c r="CF147" s="38" t="n"/>
      <c r="CG147" s="38" t="n"/>
    </row>
    <row r="148" ht="15.5" customHeight="1">
      <c r="A148" s="43" t="n">
        <v>141</v>
      </c>
      <c r="B148" s="43" t="n"/>
      <c r="C148" s="43" t="n"/>
      <c r="D148" s="7" t="n"/>
      <c r="L148" s="7" t="n"/>
      <c r="N148" s="7" t="n"/>
      <c r="O148" s="7" t="n"/>
      <c r="P148" s="7" t="n"/>
      <c r="Y148" s="24" t="n"/>
      <c r="AH148" s="7" t="n"/>
      <c r="AJ148" s="7" t="n"/>
      <c r="AK148" s="7" t="n"/>
      <c r="AL148" s="7" t="n"/>
      <c r="AU148" s="31">
        <f>SUM(AA148:AL148)+(IF(AM148&lt;&gt;"",AM148,AN148))+(IF(AO148&lt;&gt;"",AO148,AP148))+(IF(AQ148&lt;&gt;"",AQ148,AR148))+(IF(AS148&lt;&gt;"",AS148,AT148))</f>
        <v/>
      </c>
      <c r="BT148" s="36">
        <f>SUMPRODUCT(($AW$5:$BQ$5="CO1")*AW148:BQ148)</f>
        <v/>
      </c>
      <c r="BU148" s="33">
        <f>SUMPRODUCT(($E$5:$BJ$5="CO2")*(ISNUMBER(L148:BQ148))*(L148:BQ148&gt;0), L148:BQ148)</f>
        <v/>
      </c>
      <c r="BV148" s="33">
        <f>SUMPRODUCT(($E$5:$BJ$5="CO3")*(ISNUMBER(L148:BQ148))*(L148:BQ148&gt;0), L148:BQ148)</f>
        <v/>
      </c>
      <c r="BW148" s="37">
        <f>SUMPRODUCT(($AW$5:$BR$5="CO4")*AW148:BR148)</f>
        <v/>
      </c>
      <c r="BX148" s="33">
        <f>SUMPRODUCT(($E$5:$BJ$5="CO5")*(ISNUMBER(L148:BQ148))*(L148:BQ148&gt;0), L148:BQ148)</f>
        <v/>
      </c>
      <c r="BY148" s="33">
        <f>SUMPRODUCT(($E$5:$BJ$5="CO6")*(ISNUMBER(L148:BQ148))*(L148:BQ148&gt;0), L148:BQ148)</f>
        <v/>
      </c>
      <c r="BZ148" s="33">
        <f>SUM(BT148:BY148)</f>
        <v/>
      </c>
      <c r="CB148" s="38" t="n"/>
      <c r="CC148" s="38" t="n"/>
      <c r="CD148" s="38" t="n"/>
      <c r="CE148" s="38" t="n"/>
      <c r="CF148" s="38" t="n"/>
      <c r="CG148" s="38" t="n"/>
    </row>
    <row r="149" ht="15.5" customHeight="1">
      <c r="A149" s="43" t="n">
        <v>142</v>
      </c>
      <c r="B149" s="43" t="n"/>
      <c r="C149" s="43" t="n"/>
      <c r="D149" s="7" t="n"/>
      <c r="L149" s="7" t="n"/>
      <c r="N149" s="7" t="n"/>
      <c r="O149" s="7" t="n"/>
      <c r="P149" s="7" t="n"/>
      <c r="Y149" s="24" t="n"/>
      <c r="AH149" s="7" t="n"/>
      <c r="AJ149" s="7" t="n"/>
      <c r="AK149" s="7" t="n"/>
      <c r="AL149" s="7" t="n"/>
      <c r="AU149" s="31">
        <f>SUM(AA149:AL149)+(IF(AM149&lt;&gt;"",AM149,AN149))+(IF(AO149&lt;&gt;"",AO149,AP149))+(IF(AQ149&lt;&gt;"",AQ149,AR149))+(IF(AS149&lt;&gt;"",AS149,AT149))</f>
        <v/>
      </c>
      <c r="BT149" s="36">
        <f>SUMPRODUCT(($AW$5:$BQ$5="CO1")*AW149:BQ149)</f>
        <v/>
      </c>
      <c r="BU149" s="33">
        <f>SUMPRODUCT(($E$5:$BJ$5="CO2")*(ISNUMBER(L149:BQ149))*(L149:BQ149&gt;0), L149:BQ149)</f>
        <v/>
      </c>
      <c r="BV149" s="33">
        <f>SUMPRODUCT(($E$5:$BJ$5="CO3")*(ISNUMBER(L149:BQ149))*(L149:BQ149&gt;0), L149:BQ149)</f>
        <v/>
      </c>
      <c r="BW149" s="37">
        <f>SUMPRODUCT(($AW$5:$BR$5="CO4")*AW149:BR149)</f>
        <v/>
      </c>
      <c r="BX149" s="33">
        <f>SUMPRODUCT(($E$5:$BJ$5="CO5")*(ISNUMBER(L149:BQ149))*(L149:BQ149&gt;0), L149:BQ149)</f>
        <v/>
      </c>
      <c r="BY149" s="33">
        <f>SUMPRODUCT(($E$5:$BJ$5="CO6")*(ISNUMBER(L149:BQ149))*(L149:BQ149&gt;0), L149:BQ149)</f>
        <v/>
      </c>
      <c r="BZ149" s="33">
        <f>SUM(BT149:BY149)</f>
        <v/>
      </c>
      <c r="CB149" s="38" t="n"/>
      <c r="CC149" s="38" t="n"/>
      <c r="CD149" s="38" t="n"/>
      <c r="CE149" s="38" t="n"/>
      <c r="CF149" s="38" t="n"/>
      <c r="CG149" s="38" t="n"/>
    </row>
    <row r="150" ht="15.5" customHeight="1">
      <c r="A150" s="43" t="n">
        <v>143</v>
      </c>
      <c r="B150" s="43" t="n"/>
      <c r="C150" s="43" t="n"/>
      <c r="D150" s="7" t="n"/>
      <c r="L150" s="7" t="n"/>
      <c r="N150" s="7" t="n"/>
      <c r="O150" s="7" t="n"/>
      <c r="P150" s="7" t="n"/>
      <c r="Y150" s="24" t="n"/>
      <c r="AH150" s="7" t="n"/>
      <c r="AJ150" s="7" t="n"/>
      <c r="AK150" s="7" t="n"/>
      <c r="AL150" s="7" t="n"/>
      <c r="AU150" s="31">
        <f>SUM(AA150:AL150)+(IF(AM150&lt;&gt;"",AM150,AN150))+(IF(AO150&lt;&gt;"",AO150,AP150))+(IF(AQ150&lt;&gt;"",AQ150,AR150))+(IF(AS150&lt;&gt;"",AS150,AT150))</f>
        <v/>
      </c>
      <c r="BT150" s="36">
        <f>SUMPRODUCT(($AW$5:$BQ$5="CO1")*AW150:BQ150)</f>
        <v/>
      </c>
      <c r="BU150" s="33">
        <f>SUMPRODUCT(($E$5:$BJ$5="CO2")*(ISNUMBER(L150:BQ150))*(L150:BQ150&gt;0), L150:BQ150)</f>
        <v/>
      </c>
      <c r="BV150" s="33">
        <f>SUMPRODUCT(($E$5:$BJ$5="CO3")*(ISNUMBER(L150:BQ150))*(L150:BQ150&gt;0), L150:BQ150)</f>
        <v/>
      </c>
      <c r="BW150" s="37">
        <f>SUMPRODUCT(($AW$5:$BR$5="CO4")*AW150:BR150)</f>
        <v/>
      </c>
      <c r="BX150" s="33">
        <f>SUMPRODUCT(($E$5:$BJ$5="CO5")*(ISNUMBER(L150:BQ150))*(L150:BQ150&gt;0), L150:BQ150)</f>
        <v/>
      </c>
      <c r="BY150" s="33">
        <f>SUMPRODUCT(($E$5:$BJ$5="CO6")*(ISNUMBER(L150:BQ150))*(L150:BQ150&gt;0), L150:BQ150)</f>
        <v/>
      </c>
      <c r="BZ150" s="33">
        <f>SUM(BT150:BY150)</f>
        <v/>
      </c>
      <c r="CB150" s="38" t="n"/>
      <c r="CC150" s="38" t="n"/>
      <c r="CD150" s="38" t="n"/>
      <c r="CE150" s="38" t="n"/>
      <c r="CF150" s="38" t="n"/>
      <c r="CG150" s="38" t="n"/>
    </row>
    <row r="151" ht="15.5" customHeight="1">
      <c r="A151" s="43" t="n">
        <v>144</v>
      </c>
      <c r="B151" s="43" t="n"/>
      <c r="C151" s="43" t="n"/>
      <c r="D151" s="7" t="n"/>
      <c r="L151" s="7" t="n"/>
      <c r="N151" s="7" t="n"/>
      <c r="O151" s="7" t="n"/>
      <c r="P151" s="7" t="n"/>
      <c r="Y151" s="24" t="n"/>
      <c r="AH151" s="7" t="n"/>
      <c r="AJ151" s="7" t="n"/>
      <c r="AK151" s="7" t="n"/>
      <c r="AL151" s="7" t="n"/>
      <c r="AU151" s="31">
        <f>SUM(AA151:AL151)+(IF(AM151&lt;&gt;"",AM151,AN151))+(IF(AO151&lt;&gt;"",AO151,AP151))+(IF(AQ151&lt;&gt;"",AQ151,AR151))+(IF(AS151&lt;&gt;"",AS151,AT151))</f>
        <v/>
      </c>
      <c r="BT151" s="36">
        <f>SUMPRODUCT(($AW$5:$BQ$5="CO1")*AW151:BQ151)</f>
        <v/>
      </c>
      <c r="BU151" s="33">
        <f>SUMPRODUCT(($E$5:$BJ$5="CO2")*(ISNUMBER(L151:BQ151))*(L151:BQ151&gt;0), L151:BQ151)</f>
        <v/>
      </c>
      <c r="BV151" s="33">
        <f>SUMPRODUCT(($E$5:$BJ$5="CO3")*(ISNUMBER(L151:BQ151))*(L151:BQ151&gt;0), L151:BQ151)</f>
        <v/>
      </c>
      <c r="BW151" s="37">
        <f>SUMPRODUCT(($AW$5:$BR$5="CO4")*AW151:BR151)</f>
        <v/>
      </c>
      <c r="BX151" s="33">
        <f>SUMPRODUCT(($E$5:$BJ$5="CO5")*(ISNUMBER(L151:BQ151))*(L151:BQ151&gt;0), L151:BQ151)</f>
        <v/>
      </c>
      <c r="BY151" s="33">
        <f>SUMPRODUCT(($E$5:$BJ$5="CO6")*(ISNUMBER(L151:BQ151))*(L151:BQ151&gt;0), L151:BQ151)</f>
        <v/>
      </c>
      <c r="BZ151" s="33">
        <f>SUM(BT151:BY151)</f>
        <v/>
      </c>
      <c r="CB151" s="38" t="n"/>
      <c r="CC151" s="38" t="n"/>
      <c r="CD151" s="38" t="n"/>
      <c r="CE151" s="38" t="n"/>
      <c r="CF151" s="38" t="n"/>
      <c r="CG151" s="38" t="n"/>
    </row>
    <row r="152" ht="15.5" customHeight="1">
      <c r="A152" s="43" t="n">
        <v>145</v>
      </c>
      <c r="B152" s="43" t="n"/>
      <c r="C152" s="43" t="n"/>
      <c r="D152" s="7" t="n"/>
      <c r="L152" s="7" t="n"/>
      <c r="N152" s="7" t="n"/>
      <c r="O152" s="7" t="n"/>
      <c r="P152" s="7" t="n"/>
      <c r="Y152" s="24" t="n"/>
      <c r="AH152" s="7" t="n"/>
      <c r="AJ152" s="7" t="n"/>
      <c r="AK152" s="7" t="n"/>
      <c r="AL152" s="7" t="n"/>
      <c r="AU152" s="31">
        <f>SUM(AA152:AL152)+(IF(AM152&lt;&gt;"",AM152,AN152))+(IF(AO152&lt;&gt;"",AO152,AP152))+(IF(AQ152&lt;&gt;"",AQ152,AR152))+(IF(AS152&lt;&gt;"",AS152,AT152))</f>
        <v/>
      </c>
      <c r="BT152" s="36">
        <f>SUMPRODUCT(($AW$5:$BQ$5="CO1")*AW152:BQ152)</f>
        <v/>
      </c>
      <c r="BU152" s="33">
        <f>SUMPRODUCT(($E$5:$BJ$5="CO2")*(ISNUMBER(L152:BQ152))*(L152:BQ152&gt;0), L152:BQ152)</f>
        <v/>
      </c>
      <c r="BV152" s="33">
        <f>SUMPRODUCT(($E$5:$BJ$5="CO3")*(ISNUMBER(L152:BQ152))*(L152:BQ152&gt;0), L152:BQ152)</f>
        <v/>
      </c>
      <c r="BW152" s="37">
        <f>SUMPRODUCT(($AW$5:$BR$5="CO4")*AW152:BR152)</f>
        <v/>
      </c>
      <c r="BX152" s="33">
        <f>SUMPRODUCT(($E$5:$BJ$5="CO5")*(ISNUMBER(L152:BQ152))*(L152:BQ152&gt;0), L152:BQ152)</f>
        <v/>
      </c>
      <c r="BY152" s="33">
        <f>SUMPRODUCT(($E$5:$BJ$5="CO6")*(ISNUMBER(L152:BQ152))*(L152:BQ152&gt;0), L152:BQ152)</f>
        <v/>
      </c>
      <c r="BZ152" s="33">
        <f>SUM(BT152:BY152)</f>
        <v/>
      </c>
      <c r="CB152" s="38" t="n"/>
      <c r="CC152" s="38" t="n"/>
      <c r="CD152" s="38" t="n"/>
      <c r="CE152" s="38" t="n"/>
      <c r="CF152" s="38" t="n"/>
      <c r="CG152" s="38" t="n"/>
    </row>
    <row r="153" ht="15.5" customHeight="1">
      <c r="A153" s="43" t="n">
        <v>146</v>
      </c>
      <c r="B153" s="43" t="n"/>
      <c r="C153" s="43" t="n"/>
      <c r="D153" s="7" t="n"/>
      <c r="L153" s="7" t="n"/>
      <c r="N153" s="7" t="n"/>
      <c r="O153" s="7" t="n"/>
      <c r="P153" s="7" t="n"/>
      <c r="Y153" s="24" t="n"/>
      <c r="AH153" s="7" t="n"/>
      <c r="AJ153" s="7" t="n"/>
      <c r="AK153" s="7" t="n"/>
      <c r="AL153" s="7" t="n"/>
      <c r="AU153" s="31">
        <f>SUM(AA153:AL153)+(IF(AM153&lt;&gt;"",AM153,AN153))+(IF(AO153&lt;&gt;"",AO153,AP153))+(IF(AQ153&lt;&gt;"",AQ153,AR153))+(IF(AS153&lt;&gt;"",AS153,AT153))</f>
        <v/>
      </c>
      <c r="BT153" s="36">
        <f>SUMPRODUCT(($AW$5:$BQ$5="CO1")*AW153:BQ153)</f>
        <v/>
      </c>
      <c r="BU153" s="33">
        <f>SUMPRODUCT(($E$5:$BJ$5="CO2")*(ISNUMBER(L153:BQ153))*(L153:BQ153&gt;0), L153:BQ153)</f>
        <v/>
      </c>
      <c r="BV153" s="33">
        <f>SUMPRODUCT(($E$5:$BJ$5="CO3")*(ISNUMBER(L153:BQ153))*(L153:BQ153&gt;0), L153:BQ153)</f>
        <v/>
      </c>
      <c r="BW153" s="37">
        <f>SUMPRODUCT(($AW$5:$BR$5="CO4")*AW153:BR153)</f>
        <v/>
      </c>
      <c r="BX153" s="33">
        <f>SUMPRODUCT(($E$5:$BJ$5="CO5")*(ISNUMBER(L153:BQ153))*(L153:BQ153&gt;0), L153:BQ153)</f>
        <v/>
      </c>
      <c r="BY153" s="33">
        <f>SUMPRODUCT(($E$5:$BJ$5="CO6")*(ISNUMBER(L153:BQ153))*(L153:BQ153&gt;0), L153:BQ153)</f>
        <v/>
      </c>
      <c r="BZ153" s="33">
        <f>SUM(BT153:BY153)</f>
        <v/>
      </c>
      <c r="CB153" s="38" t="n"/>
      <c r="CC153" s="38" t="n"/>
      <c r="CD153" s="38" t="n"/>
      <c r="CE153" s="38" t="n"/>
      <c r="CF153" s="38" t="n"/>
      <c r="CG153" s="38" t="n"/>
    </row>
    <row r="154" ht="15.5" customHeight="1">
      <c r="A154" s="43" t="n">
        <v>147</v>
      </c>
      <c r="B154" s="43" t="n"/>
      <c r="C154" s="43" t="n"/>
      <c r="D154" s="7" t="n"/>
      <c r="L154" s="7" t="n"/>
      <c r="N154" s="7" t="n"/>
      <c r="O154" s="7" t="n"/>
      <c r="P154" s="7" t="n"/>
      <c r="Y154" s="24" t="n"/>
      <c r="AH154" s="7" t="n"/>
      <c r="AJ154" s="7" t="n"/>
      <c r="AK154" s="7" t="n"/>
      <c r="AL154" s="7" t="n"/>
      <c r="AU154" s="31">
        <f>SUM(AA154:AL154)+(IF(AM154&lt;&gt;"",AM154,AN154))+(IF(AO154&lt;&gt;"",AO154,AP154))+(IF(AQ154&lt;&gt;"",AQ154,AR154))+(IF(AS154&lt;&gt;"",AS154,AT154))</f>
        <v/>
      </c>
      <c r="BT154" s="36">
        <f>SUMPRODUCT(($AW$5:$BQ$5="CO1")*AW154:BQ154)</f>
        <v/>
      </c>
      <c r="BU154" s="33">
        <f>SUMPRODUCT(($E$5:$BJ$5="CO2")*(ISNUMBER(L154:BQ154))*(L154:BQ154&gt;0), L154:BQ154)</f>
        <v/>
      </c>
      <c r="BV154" s="33">
        <f>SUMPRODUCT(($E$5:$BJ$5="CO3")*(ISNUMBER(L154:BQ154))*(L154:BQ154&gt;0), L154:BQ154)</f>
        <v/>
      </c>
      <c r="BW154" s="37">
        <f>SUMPRODUCT(($AW$5:$BR$5="CO4")*AW154:BR154)</f>
        <v/>
      </c>
      <c r="BX154" s="33">
        <f>SUMPRODUCT(($E$5:$BJ$5="CO5")*(ISNUMBER(L154:BQ154))*(L154:BQ154&gt;0), L154:BQ154)</f>
        <v/>
      </c>
      <c r="BY154" s="33">
        <f>SUMPRODUCT(($E$5:$BJ$5="CO6")*(ISNUMBER(L154:BQ154))*(L154:BQ154&gt;0), L154:BQ154)</f>
        <v/>
      </c>
      <c r="BZ154" s="33">
        <f>SUM(BT154:BY154)</f>
        <v/>
      </c>
      <c r="CB154" s="38" t="n"/>
      <c r="CC154" s="38" t="n"/>
      <c r="CD154" s="38" t="n"/>
      <c r="CE154" s="38" t="n"/>
      <c r="CF154" s="38" t="n"/>
      <c r="CG154" s="38" t="n"/>
    </row>
    <row r="155" ht="15.5" customHeight="1">
      <c r="A155" s="43" t="n">
        <v>148</v>
      </c>
      <c r="B155" s="43" t="n"/>
      <c r="C155" s="43" t="n"/>
      <c r="D155" s="7" t="n"/>
      <c r="L155" s="7" t="n"/>
      <c r="N155" s="7" t="n"/>
      <c r="O155" s="7" t="n"/>
      <c r="P155" s="7" t="n"/>
      <c r="Y155" s="24" t="n"/>
      <c r="AH155" s="7" t="n"/>
      <c r="AJ155" s="7" t="n"/>
      <c r="AK155" s="7" t="n"/>
      <c r="AL155" s="7" t="n"/>
      <c r="AU155" s="31">
        <f>SUM(AA155:AL155)+(IF(AM155&lt;&gt;"",AM155,AN155))+(IF(AO155&lt;&gt;"",AO155,AP155))+(IF(AQ155&lt;&gt;"",AQ155,AR155))+(IF(AS155&lt;&gt;"",AS155,AT155))</f>
        <v/>
      </c>
      <c r="BT155" s="36">
        <f>SUMPRODUCT(($AW$5:$BQ$5="CO1")*AW155:BQ155)</f>
        <v/>
      </c>
      <c r="BU155" s="33">
        <f>SUMPRODUCT(($E$5:$BJ$5="CO2")*(ISNUMBER(L155:BQ155))*(L155:BQ155&gt;0), L155:BQ155)</f>
        <v/>
      </c>
      <c r="BV155" s="33">
        <f>SUMPRODUCT(($E$5:$BJ$5="CO3")*(ISNUMBER(L155:BQ155))*(L155:BQ155&gt;0), L155:BQ155)</f>
        <v/>
      </c>
      <c r="BW155" s="37">
        <f>SUMPRODUCT(($AW$5:$BR$5="CO4")*AW155:BR155)</f>
        <v/>
      </c>
      <c r="BX155" s="33">
        <f>SUMPRODUCT(($E$5:$BJ$5="CO5")*(ISNUMBER(L155:BQ155))*(L155:BQ155&gt;0), L155:BQ155)</f>
        <v/>
      </c>
      <c r="BY155" s="33">
        <f>SUMPRODUCT(($E$5:$BJ$5="CO6")*(ISNUMBER(L155:BQ155))*(L155:BQ155&gt;0), L155:BQ155)</f>
        <v/>
      </c>
      <c r="BZ155" s="33">
        <f>SUM(BT155:BY155)</f>
        <v/>
      </c>
      <c r="CB155" s="38" t="n"/>
      <c r="CC155" s="38" t="n"/>
      <c r="CD155" s="38" t="n"/>
      <c r="CE155" s="38" t="n"/>
      <c r="CF155" s="38" t="n"/>
      <c r="CG155" s="38" t="n"/>
    </row>
    <row r="156" ht="15.5" customHeight="1">
      <c r="A156" s="43" t="n">
        <v>149</v>
      </c>
      <c r="B156" s="43" t="n"/>
      <c r="C156" s="43" t="n"/>
      <c r="D156" s="7" t="n"/>
      <c r="L156" s="7" t="n"/>
      <c r="N156" s="7" t="n"/>
      <c r="O156" s="7" t="n"/>
      <c r="P156" s="7" t="n"/>
      <c r="Y156" s="24" t="n"/>
      <c r="AH156" s="7" t="n"/>
      <c r="AJ156" s="7" t="n"/>
      <c r="AK156" s="7" t="n"/>
      <c r="AL156" s="7" t="n"/>
      <c r="AU156" s="31">
        <f>SUM(AA156:AL156)+(IF(AM156&lt;&gt;"",AM156,AN156))+(IF(AO156&lt;&gt;"",AO156,AP156))+(IF(AQ156&lt;&gt;"",AQ156,AR156))+(IF(AS156&lt;&gt;"",AS156,AT156))</f>
        <v/>
      </c>
      <c r="BT156" s="36">
        <f>SUMPRODUCT(($AW$5:$BQ$5="CO1")*AW156:BQ156)</f>
        <v/>
      </c>
      <c r="BU156" s="33">
        <f>SUMPRODUCT(($E$5:$BJ$5="CO2")*(ISNUMBER(L156:BQ156))*(L156:BQ156&gt;0), L156:BQ156)</f>
        <v/>
      </c>
      <c r="BV156" s="33">
        <f>SUMPRODUCT(($E$5:$BJ$5="CO3")*(ISNUMBER(L156:BQ156))*(L156:BQ156&gt;0), L156:BQ156)</f>
        <v/>
      </c>
      <c r="BW156" s="37">
        <f>SUMPRODUCT(($AW$5:$BR$5="CO4")*AW156:BR156)</f>
        <v/>
      </c>
      <c r="BX156" s="33">
        <f>SUMPRODUCT(($E$5:$BJ$5="CO5")*(ISNUMBER(L156:BQ156))*(L156:BQ156&gt;0), L156:BQ156)</f>
        <v/>
      </c>
      <c r="BY156" s="33">
        <f>SUMPRODUCT(($E$5:$BJ$5="CO6")*(ISNUMBER(L156:BQ156))*(L156:BQ156&gt;0), L156:BQ156)</f>
        <v/>
      </c>
      <c r="BZ156" s="33">
        <f>SUM(BT156:BY156)</f>
        <v/>
      </c>
      <c r="CB156" s="38" t="n"/>
      <c r="CC156" s="38" t="n"/>
      <c r="CD156" s="38" t="n"/>
      <c r="CE156" s="38" t="n"/>
      <c r="CF156" s="38" t="n"/>
      <c r="CG156" s="38" t="n"/>
    </row>
    <row r="157" ht="15.5" customHeight="1">
      <c r="A157" s="43" t="n">
        <v>150</v>
      </c>
      <c r="B157" s="43" t="n"/>
      <c r="C157" s="43" t="n"/>
      <c r="D157" s="7" t="n"/>
      <c r="L157" s="7" t="n"/>
      <c r="N157" s="7" t="n"/>
      <c r="O157" s="7" t="n"/>
      <c r="P157" s="7" t="n"/>
      <c r="Y157" s="24" t="n"/>
      <c r="AH157" s="7" t="n"/>
      <c r="AJ157" s="7" t="n"/>
      <c r="AK157" s="7" t="n"/>
      <c r="AL157" s="7" t="n"/>
      <c r="AU157" s="31">
        <f>SUM(AA157:AL157)+(IF(AM157&lt;&gt;"",AM157,AN157))+(IF(AO157&lt;&gt;"",AO157,AP157))+(IF(AQ157&lt;&gt;"",AQ157,AR157))+(IF(AS157&lt;&gt;"",AS157,AT157))</f>
        <v/>
      </c>
      <c r="BT157" s="36">
        <f>SUMPRODUCT(($AW$5:$BQ$5="CO1")*AW157:BQ157)</f>
        <v/>
      </c>
      <c r="BU157" s="33">
        <f>SUMPRODUCT(($E$5:$BJ$5="CO2")*(ISNUMBER(L157:BQ157))*(L157:BQ157&gt;0), L157:BQ157)</f>
        <v/>
      </c>
      <c r="BV157" s="33">
        <f>SUMPRODUCT(($E$5:$BJ$5="CO3")*(ISNUMBER(L157:BQ157))*(L157:BQ157&gt;0), L157:BQ157)</f>
        <v/>
      </c>
      <c r="BW157" s="37">
        <f>SUMPRODUCT(($AW$5:$BR$5="CO4")*AW157:BR157)</f>
        <v/>
      </c>
      <c r="BX157" s="33">
        <f>SUMPRODUCT(($E$5:$BJ$5="CO5")*(ISNUMBER(L157:BQ157))*(L157:BQ157&gt;0), L157:BQ157)</f>
        <v/>
      </c>
      <c r="BY157" s="33">
        <f>SUMPRODUCT(($E$5:$BJ$5="CO6")*(ISNUMBER(L157:BQ157))*(L157:BQ157&gt;0), L157:BQ157)</f>
        <v/>
      </c>
      <c r="BZ157" s="33">
        <f>SUM(BT157:BY157)</f>
        <v/>
      </c>
      <c r="CB157" s="38" t="n"/>
      <c r="CC157" s="38" t="n"/>
      <c r="CD157" s="38" t="n"/>
      <c r="CE157" s="38" t="n"/>
      <c r="CF157" s="38" t="n"/>
      <c r="CG157" s="38" t="n"/>
    </row>
    <row r="158" ht="15.5" customHeight="1">
      <c r="A158" s="43" t="n">
        <v>151</v>
      </c>
      <c r="B158" s="43" t="n"/>
      <c r="C158" s="43" t="n"/>
      <c r="D158" s="7" t="n"/>
      <c r="L158" s="7" t="n"/>
      <c r="N158" s="7" t="n"/>
      <c r="O158" s="7" t="n"/>
      <c r="P158" s="7" t="n"/>
      <c r="Y158" s="24" t="n"/>
      <c r="AH158" s="7" t="n"/>
      <c r="AJ158" s="7" t="n"/>
      <c r="AK158" s="7" t="n"/>
      <c r="AL158" s="7" t="n"/>
      <c r="AU158" s="31">
        <f>SUM(AA158:AL158)+(IF(AM158&lt;&gt;"",AM158,AN158))+(IF(AO158&lt;&gt;"",AO158,AP158))+(IF(AQ158&lt;&gt;"",AQ158,AR158))+(IF(AS158&lt;&gt;"",AS158,AT158))</f>
        <v/>
      </c>
      <c r="BT158" s="36">
        <f>SUMPRODUCT(($AW$5:$BQ$5="CO1")*AW158:BQ158)</f>
        <v/>
      </c>
      <c r="BU158" s="33">
        <f>SUMPRODUCT(($E$5:$BJ$5="CO2")*(ISNUMBER(L158:BQ158))*(L158:BQ158&gt;0), L158:BQ158)</f>
        <v/>
      </c>
      <c r="BV158" s="33">
        <f>SUMPRODUCT(($E$5:$BJ$5="CO3")*(ISNUMBER(L158:BQ158))*(L158:BQ158&gt;0), L158:BQ158)</f>
        <v/>
      </c>
      <c r="BW158" s="37">
        <f>SUMPRODUCT(($AW$5:$BR$5="CO4")*AW158:BR158)</f>
        <v/>
      </c>
      <c r="BX158" s="33">
        <f>SUMPRODUCT(($E$5:$BJ$5="CO5")*(ISNUMBER(L158:BQ158))*(L158:BQ158&gt;0), L158:BQ158)</f>
        <v/>
      </c>
      <c r="BY158" s="33">
        <f>SUMPRODUCT(($E$5:$BJ$5="CO6")*(ISNUMBER(L158:BQ158))*(L158:BQ158&gt;0), L158:BQ158)</f>
        <v/>
      </c>
      <c r="BZ158" s="33">
        <f>SUM(BT158:BY158)</f>
        <v/>
      </c>
      <c r="CB158" s="38" t="n"/>
      <c r="CC158" s="38" t="n"/>
      <c r="CD158" s="38" t="n"/>
      <c r="CE158" s="38" t="n"/>
      <c r="CF158" s="38" t="n"/>
      <c r="CG158" s="38" t="n"/>
    </row>
    <row r="159" ht="15.5" customHeight="1">
      <c r="A159" s="43" t="n">
        <v>152</v>
      </c>
      <c r="B159" s="43" t="n"/>
      <c r="C159" s="43" t="n"/>
      <c r="D159" s="7" t="n"/>
      <c r="L159" s="7" t="n"/>
      <c r="N159" s="7" t="n"/>
      <c r="O159" s="7" t="n"/>
      <c r="P159" s="7" t="n"/>
      <c r="Y159" s="24" t="n"/>
      <c r="AH159" s="7" t="n"/>
      <c r="AJ159" s="7" t="n"/>
      <c r="AK159" s="7" t="n"/>
      <c r="AL159" s="7" t="n"/>
      <c r="AU159" s="31">
        <f>SUM(AA159:AL159)+(IF(AM159&lt;&gt;"",AM159,AN159))+(IF(AO159&lt;&gt;"",AO159,AP159))+(IF(AQ159&lt;&gt;"",AQ159,AR159))+(IF(AS159&lt;&gt;"",AS159,AT159))</f>
        <v/>
      </c>
      <c r="BT159" s="36">
        <f>SUMPRODUCT(($AW$5:$BQ$5="CO1")*AW159:BQ159)</f>
        <v/>
      </c>
      <c r="BU159" s="33">
        <f>SUMPRODUCT(($E$5:$BJ$5="CO2")*(ISNUMBER(L159:BQ159))*(L159:BQ159&gt;0), L159:BQ159)</f>
        <v/>
      </c>
      <c r="BV159" s="33">
        <f>SUMPRODUCT(($E$5:$BJ$5="CO3")*(ISNUMBER(L159:BQ159))*(L159:BQ159&gt;0), L159:BQ159)</f>
        <v/>
      </c>
      <c r="BW159" s="37">
        <f>SUMPRODUCT(($AW$5:$BR$5="CO4")*AW159:BR159)</f>
        <v/>
      </c>
      <c r="BX159" s="33">
        <f>SUMPRODUCT(($E$5:$BJ$5="CO5")*(ISNUMBER(L159:BQ159))*(L159:BQ159&gt;0), L159:BQ159)</f>
        <v/>
      </c>
      <c r="BY159" s="33">
        <f>SUMPRODUCT(($E$5:$BJ$5="CO6")*(ISNUMBER(L159:BQ159))*(L159:BQ159&gt;0), L159:BQ159)</f>
        <v/>
      </c>
      <c r="BZ159" s="33">
        <f>SUM(BT159:BY159)</f>
        <v/>
      </c>
      <c r="CB159" s="38" t="n"/>
      <c r="CC159" s="38" t="n"/>
      <c r="CD159" s="38" t="n"/>
      <c r="CE159" s="38" t="n"/>
      <c r="CF159" s="38" t="n"/>
      <c r="CG159" s="38" t="n"/>
    </row>
    <row r="160" ht="15.5" customHeight="1">
      <c r="A160" s="43" t="n">
        <v>153</v>
      </c>
      <c r="B160" s="43" t="n"/>
      <c r="C160" s="43" t="n"/>
      <c r="D160" s="7" t="n"/>
      <c r="L160" s="7" t="n"/>
      <c r="N160" s="7" t="n"/>
      <c r="O160" s="7" t="n"/>
      <c r="P160" s="7" t="n"/>
      <c r="Y160" s="24" t="n"/>
      <c r="AH160" s="7" t="n"/>
      <c r="AJ160" s="7" t="n"/>
      <c r="AK160" s="7" t="n"/>
      <c r="AL160" s="7" t="n"/>
      <c r="AU160" s="31">
        <f>SUM(AA160:AL160)+(IF(AM160&lt;&gt;"",AM160,AN160))+(IF(AO160&lt;&gt;"",AO160,AP160))+(IF(AQ160&lt;&gt;"",AQ160,AR160))+(IF(AS160&lt;&gt;"",AS160,AT160))</f>
        <v/>
      </c>
      <c r="BT160" s="36">
        <f>SUMPRODUCT(($AW$5:$BQ$5="CO1")*AW160:BQ160)</f>
        <v/>
      </c>
      <c r="BU160" s="33">
        <f>SUMPRODUCT(($E$5:$BJ$5="CO2")*(ISNUMBER(L160:BQ160))*(L160:BQ160&gt;0), L160:BQ160)</f>
        <v/>
      </c>
      <c r="BV160" s="33">
        <f>SUMPRODUCT(($E$5:$BJ$5="CO3")*(ISNUMBER(L160:BQ160))*(L160:BQ160&gt;0), L160:BQ160)</f>
        <v/>
      </c>
      <c r="BW160" s="37">
        <f>SUMPRODUCT(($AW$5:$BR$5="CO4")*AW160:BR160)</f>
        <v/>
      </c>
      <c r="BX160" s="33">
        <f>SUMPRODUCT(($E$5:$BJ$5="CO5")*(ISNUMBER(L160:BQ160))*(L160:BQ160&gt;0), L160:BQ160)</f>
        <v/>
      </c>
      <c r="BY160" s="33">
        <f>SUMPRODUCT(($E$5:$BJ$5="CO6")*(ISNUMBER(L160:BQ160))*(L160:BQ160&gt;0), L160:BQ160)</f>
        <v/>
      </c>
      <c r="BZ160" s="33">
        <f>SUM(BT160:BY160)</f>
        <v/>
      </c>
      <c r="CB160" s="38" t="n"/>
      <c r="CC160" s="38" t="n"/>
      <c r="CD160" s="38" t="n"/>
      <c r="CE160" s="38" t="n"/>
      <c r="CF160" s="38" t="n"/>
      <c r="CG160" s="38" t="n"/>
    </row>
    <row r="161" ht="15.5" customHeight="1">
      <c r="A161" s="43" t="n">
        <v>154</v>
      </c>
      <c r="B161" s="43" t="n"/>
      <c r="C161" s="43" t="n"/>
      <c r="D161" s="7" t="n"/>
      <c r="L161" s="7" t="n"/>
      <c r="N161" s="7" t="n"/>
      <c r="O161" s="7" t="n"/>
      <c r="P161" s="7" t="n"/>
      <c r="Y161" s="24" t="n"/>
      <c r="AH161" s="7" t="n"/>
      <c r="AJ161" s="7" t="n"/>
      <c r="AK161" s="7" t="n"/>
      <c r="AL161" s="7" t="n"/>
      <c r="AU161" s="31">
        <f>SUM(AA161:AL161)+(IF(AM161&lt;&gt;"",AM161,AN161))+(IF(AO161&lt;&gt;"",AO161,AP161))+(IF(AQ161&lt;&gt;"",AQ161,AR161))+(IF(AS161&lt;&gt;"",AS161,AT161))</f>
        <v/>
      </c>
      <c r="BT161" s="36">
        <f>SUMPRODUCT(($AW$5:$BQ$5="CO1")*AW161:BQ161)</f>
        <v/>
      </c>
      <c r="BU161" s="33">
        <f>SUMPRODUCT(($E$5:$BJ$5="CO2")*(ISNUMBER(L161:BQ161))*(L161:BQ161&gt;0), L161:BQ161)</f>
        <v/>
      </c>
      <c r="BV161" s="33">
        <f>SUMPRODUCT(($E$5:$BJ$5="CO3")*(ISNUMBER(L161:BQ161))*(L161:BQ161&gt;0), L161:BQ161)</f>
        <v/>
      </c>
      <c r="BW161" s="37">
        <f>SUMPRODUCT(($AW$5:$BR$5="CO4")*AW161:BR161)</f>
        <v/>
      </c>
      <c r="BX161" s="33">
        <f>SUMPRODUCT(($E$5:$BJ$5="CO5")*(ISNUMBER(L161:BQ161))*(L161:BQ161&gt;0), L161:BQ161)</f>
        <v/>
      </c>
      <c r="BY161" s="33">
        <f>SUMPRODUCT(($E$5:$BJ$5="CO6")*(ISNUMBER(L161:BQ161))*(L161:BQ161&gt;0), L161:BQ161)</f>
        <v/>
      </c>
      <c r="BZ161" s="33">
        <f>SUM(BT161:BY161)</f>
        <v/>
      </c>
      <c r="CB161" s="38" t="n"/>
      <c r="CC161" s="38" t="n"/>
      <c r="CD161" s="38" t="n"/>
      <c r="CE161" s="38" t="n"/>
      <c r="CF161" s="38" t="n"/>
      <c r="CG161" s="38" t="n"/>
    </row>
    <row r="162" ht="15.5" customHeight="1">
      <c r="A162" s="43" t="n">
        <v>155</v>
      </c>
      <c r="B162" s="43" t="n"/>
      <c r="C162" s="43" t="n"/>
      <c r="D162" s="7" t="n"/>
      <c r="L162" s="7" t="n"/>
      <c r="N162" s="7" t="n"/>
      <c r="O162" s="7" t="n"/>
      <c r="P162" s="7" t="n"/>
      <c r="Y162" s="24" t="n"/>
      <c r="AH162" s="7" t="n"/>
      <c r="AJ162" s="7" t="n"/>
      <c r="AK162" s="7" t="n"/>
      <c r="AL162" s="7" t="n"/>
      <c r="AU162" s="31">
        <f>SUM(AA162:AL162)+(IF(AM162&lt;&gt;"",AM162,AN162))+(IF(AO162&lt;&gt;"",AO162,AP162))+(IF(AQ162&lt;&gt;"",AQ162,AR162))+(IF(AS162&lt;&gt;"",AS162,AT162))</f>
        <v/>
      </c>
      <c r="BT162" s="36">
        <f>SUMPRODUCT(($AW$5:$BQ$5="CO1")*AW162:BQ162)</f>
        <v/>
      </c>
      <c r="BU162" s="33">
        <f>SUMPRODUCT(($E$5:$BJ$5="CO2")*(ISNUMBER(L162:BQ162))*(L162:BQ162&gt;0), L162:BQ162)</f>
        <v/>
      </c>
      <c r="BV162" s="33">
        <f>SUMPRODUCT(($E$5:$BJ$5="CO3")*(ISNUMBER(L162:BQ162))*(L162:BQ162&gt;0), L162:BQ162)</f>
        <v/>
      </c>
      <c r="BW162" s="37">
        <f>SUMPRODUCT(($AW$5:$BR$5="CO4")*AW162:BR162)</f>
        <v/>
      </c>
      <c r="BX162" s="33">
        <f>SUMPRODUCT(($E$5:$BJ$5="CO5")*(ISNUMBER(L162:BQ162))*(L162:BQ162&gt;0), L162:BQ162)</f>
        <v/>
      </c>
      <c r="BY162" s="33">
        <f>SUMPRODUCT(($E$5:$BJ$5="CO6")*(ISNUMBER(L162:BQ162))*(L162:BQ162&gt;0), L162:BQ162)</f>
        <v/>
      </c>
      <c r="BZ162" s="33">
        <f>SUM(BT162:BY162)</f>
        <v/>
      </c>
      <c r="CB162" s="38" t="n"/>
      <c r="CC162" s="38" t="n"/>
      <c r="CD162" s="38" t="n"/>
      <c r="CE162" s="38" t="n"/>
      <c r="CF162" s="38" t="n"/>
      <c r="CG162" s="38" t="n"/>
    </row>
    <row r="163" ht="15.5" customHeight="1">
      <c r="A163" s="43" t="n">
        <v>156</v>
      </c>
      <c r="B163" s="43" t="n"/>
      <c r="C163" s="43" t="n"/>
      <c r="D163" s="7" t="n"/>
      <c r="L163" s="7" t="n"/>
      <c r="N163" s="7" t="n"/>
      <c r="O163" s="7" t="n"/>
      <c r="P163" s="7" t="n"/>
      <c r="Y163" s="24" t="n"/>
      <c r="AH163" s="7" t="n"/>
      <c r="AJ163" s="7" t="n"/>
      <c r="AK163" s="7" t="n"/>
      <c r="AL163" s="7" t="n"/>
      <c r="AU163" s="31">
        <f>SUM(AA163:AL163)+(IF(AM163&lt;&gt;"",AM163,AN163))+(IF(AO163&lt;&gt;"",AO163,AP163))+(IF(AQ163&lt;&gt;"",AQ163,AR163))+(IF(AS163&lt;&gt;"",AS163,AT163))</f>
        <v/>
      </c>
      <c r="BT163" s="36">
        <f>SUMPRODUCT(($AW$5:$BQ$5="CO1")*AW163:BQ163)</f>
        <v/>
      </c>
      <c r="BU163" s="33">
        <f>SUMPRODUCT(($E$5:$BJ$5="CO2")*(ISNUMBER(L163:BQ163))*(L163:BQ163&gt;0), L163:BQ163)</f>
        <v/>
      </c>
      <c r="BV163" s="33">
        <f>SUMPRODUCT(($E$5:$BJ$5="CO3")*(ISNUMBER(L163:BQ163))*(L163:BQ163&gt;0), L163:BQ163)</f>
        <v/>
      </c>
      <c r="BW163" s="37">
        <f>SUMPRODUCT(($AW$5:$BR$5="CO4")*AW163:BR163)</f>
        <v/>
      </c>
      <c r="BX163" s="33">
        <f>SUMPRODUCT(($E$5:$BJ$5="CO5")*(ISNUMBER(L163:BQ163))*(L163:BQ163&gt;0), L163:BQ163)</f>
        <v/>
      </c>
      <c r="BY163" s="33">
        <f>SUMPRODUCT(($E$5:$BJ$5="CO6")*(ISNUMBER(L163:BQ163))*(L163:BQ163&gt;0), L163:BQ163)</f>
        <v/>
      </c>
      <c r="BZ163" s="33">
        <f>SUM(BT163:BY163)</f>
        <v/>
      </c>
      <c r="CB163" s="38" t="n"/>
      <c r="CC163" s="38" t="n"/>
      <c r="CD163" s="38" t="n"/>
      <c r="CE163" s="38" t="n"/>
      <c r="CF163" s="38" t="n"/>
      <c r="CG163" s="38" t="n"/>
    </row>
    <row r="164" ht="15.5" customHeight="1">
      <c r="A164" s="43" t="n">
        <v>157</v>
      </c>
      <c r="B164" s="43" t="n"/>
      <c r="C164" s="43" t="n"/>
      <c r="D164" s="7" t="n"/>
      <c r="L164" s="7" t="n"/>
      <c r="N164" s="7" t="n"/>
      <c r="O164" s="7" t="n"/>
      <c r="P164" s="7" t="n"/>
      <c r="Y164" s="24" t="n"/>
      <c r="AH164" s="7" t="n"/>
      <c r="AJ164" s="7" t="n"/>
      <c r="AK164" s="7" t="n"/>
      <c r="AL164" s="7" t="n"/>
      <c r="AU164" s="31">
        <f>SUM(AA164:AL164)+(IF(AM164&lt;&gt;"",AM164,AN164))+(IF(AO164&lt;&gt;"",AO164,AP164))+(IF(AQ164&lt;&gt;"",AQ164,AR164))+(IF(AS164&lt;&gt;"",AS164,AT164))</f>
        <v/>
      </c>
      <c r="BT164" s="36">
        <f>SUMPRODUCT(($AW$5:$BQ$5="CO1")*AW164:BQ164)</f>
        <v/>
      </c>
      <c r="BU164" s="33">
        <f>SUMPRODUCT(($E$5:$BJ$5="CO2")*(ISNUMBER(L164:BQ164))*(L164:BQ164&gt;0), L164:BQ164)</f>
        <v/>
      </c>
      <c r="BV164" s="33">
        <f>SUMPRODUCT(($E$5:$BJ$5="CO3")*(ISNUMBER(L164:BQ164))*(L164:BQ164&gt;0), L164:BQ164)</f>
        <v/>
      </c>
      <c r="BW164" s="36">
        <f>SUMPRODUCT(($AW$5:$BR$5="CO4")*AW164:BR164)</f>
        <v/>
      </c>
      <c r="BX164" s="33">
        <f>SUMPRODUCT(($E$5:$BJ$5="CO5")*(ISNUMBER(L164:BQ164))*(L164:BQ164&gt;0), L164:BQ164)</f>
        <v/>
      </c>
      <c r="BY164" s="33">
        <f>SUMPRODUCT(($E$5:$BJ$5="CO6")*(ISNUMBER(L164:BQ164))*(L164:BQ164&gt;0), L164:BQ164)</f>
        <v/>
      </c>
      <c r="BZ164" s="33">
        <f>SUM(BT164:BY164)</f>
        <v/>
      </c>
      <c r="CB164" s="38" t="n"/>
      <c r="CC164" s="38" t="n"/>
      <c r="CD164" s="38" t="n"/>
      <c r="CE164" s="38" t="n"/>
      <c r="CF164" s="38" t="n"/>
      <c r="CG164" s="38" t="n"/>
    </row>
    <row r="165" ht="15.5" customHeight="1">
      <c r="A165" s="43" t="n">
        <v>158</v>
      </c>
      <c r="B165" s="43" t="n"/>
      <c r="C165" s="43" t="n"/>
      <c r="D165" s="7" t="n"/>
      <c r="L165" s="7" t="n"/>
      <c r="N165" s="7" t="n"/>
      <c r="O165" s="7" t="n"/>
      <c r="P165" s="7" t="n"/>
      <c r="Y165" s="24" t="n"/>
      <c r="AH165" s="7" t="n"/>
      <c r="AJ165" s="7" t="n"/>
      <c r="AK165" s="7" t="n"/>
      <c r="AL165" s="7" t="n"/>
      <c r="AU165" s="31">
        <f>SUM(AA165:AL165)+(IF(AM165&lt;&gt;"",AM165,AN165))+(IF(AO165&lt;&gt;"",AO165,AP165))+(IF(AQ165&lt;&gt;"",AQ165,AR165))+(IF(AS165&lt;&gt;"",AS165,AT165))</f>
        <v/>
      </c>
      <c r="BT165" s="36">
        <f>SUMPRODUCT(($AW$5:$BQ$5="CO1")*AW165:BQ165)</f>
        <v/>
      </c>
      <c r="BU165" s="33">
        <f>SUMPRODUCT(($E$5:$BJ$5="CO2")*(ISNUMBER(L165:BQ165))*(L165:BQ165&gt;0), L165:BQ165)</f>
        <v/>
      </c>
      <c r="BV165" s="33">
        <f>SUMPRODUCT(($E$5:$BJ$5="CO3")*(ISNUMBER(L165:BQ165))*(L165:BQ165&gt;0), L165:BQ165)</f>
        <v/>
      </c>
      <c r="BW165" s="36">
        <f>SUMPRODUCT(($AW$5:$BR$5="CO4")*AW165:BR165)</f>
        <v/>
      </c>
      <c r="BX165" s="33">
        <f>SUMPRODUCT(($E$5:$BJ$5="CO5")*(ISNUMBER(L165:BQ165))*(L165:BQ165&gt;0), L165:BQ165)</f>
        <v/>
      </c>
      <c r="BY165" s="33">
        <f>SUMPRODUCT(($E$5:$BJ$5="CO6")*(ISNUMBER(L165:BQ165))*(L165:BQ165&gt;0), L165:BQ165)</f>
        <v/>
      </c>
      <c r="BZ165" s="33">
        <f>SUM(BT165:BY165)</f>
        <v/>
      </c>
      <c r="CB165" s="38" t="n"/>
      <c r="CC165" s="38" t="n"/>
      <c r="CD165" s="38" t="n"/>
      <c r="CE165" s="38" t="n"/>
      <c r="CF165" s="38" t="n"/>
      <c r="CG165" s="38" t="n"/>
    </row>
    <row r="166" ht="15.5" customHeight="1">
      <c r="A166" s="43" t="n">
        <v>159</v>
      </c>
      <c r="B166" s="43" t="n"/>
      <c r="C166" s="43" t="n"/>
      <c r="D166" s="7" t="n"/>
      <c r="L166" s="7" t="n"/>
      <c r="N166" s="7" t="n"/>
      <c r="O166" s="7" t="n"/>
      <c r="P166" s="7" t="n"/>
      <c r="Y166" s="24" t="n"/>
      <c r="AH166" s="7" t="n"/>
      <c r="AJ166" s="7" t="n"/>
      <c r="AK166" s="7" t="n"/>
      <c r="AL166" s="7" t="n"/>
      <c r="AU166" s="31">
        <f>SUM(AA166:AL166)+(IF(AM166&lt;&gt;"",AM166,AN166))+(IF(AO166&lt;&gt;"",AO166,AP166))+(IF(AQ166&lt;&gt;"",AQ166,AR166))+(IF(AS166&lt;&gt;"",AS166,AT166))</f>
        <v/>
      </c>
      <c r="BT166" s="36">
        <f>SUMPRODUCT(($AW$5:$BQ$5="CO1")*AW166:BQ166)</f>
        <v/>
      </c>
      <c r="BU166" s="33">
        <f>SUMPRODUCT(($E$5:$BJ$5="CO2")*(ISNUMBER(L166:BQ166))*(L166:BQ166&gt;0), L166:BQ166)</f>
        <v/>
      </c>
      <c r="BV166" s="33">
        <f>SUMPRODUCT(($E$5:$BJ$5="CO3")*(ISNUMBER(L166:BQ166))*(L166:BQ166&gt;0), L166:BQ166)</f>
        <v/>
      </c>
      <c r="BW166" s="36">
        <f>SUMPRODUCT(($AW$5:$BR$5="CO4")*AW166:BR166)</f>
        <v/>
      </c>
      <c r="BX166" s="33">
        <f>SUMPRODUCT(($E$5:$BJ$5="CO5")*(ISNUMBER(L166:BQ166))*(L166:BQ166&gt;0), L166:BQ166)</f>
        <v/>
      </c>
      <c r="BY166" s="33">
        <f>SUMPRODUCT(($E$5:$BJ$5="CO6")*(ISNUMBER(L166:BQ166))*(L166:BQ166&gt;0), L166:BQ166)</f>
        <v/>
      </c>
      <c r="BZ166" s="33">
        <f>SUM(BT166:BY166)</f>
        <v/>
      </c>
      <c r="CB166" s="38">
        <f>BT166/$BM$7*100</f>
        <v/>
      </c>
      <c r="CC166" s="38">
        <f>BU166/$BN$7*100</f>
        <v/>
      </c>
      <c r="CD166" s="38">
        <f>BV166/$BO$7*100</f>
        <v/>
      </c>
      <c r="CE166" s="38">
        <f>BW166/$BP$7*100</f>
        <v/>
      </c>
      <c r="CF166" s="38">
        <f>BX166/$BQ$7*100</f>
        <v/>
      </c>
      <c r="CG166" s="38">
        <f>BY166/$BR$7*100</f>
        <v/>
      </c>
    </row>
    <row r="167" ht="15.5" customHeight="1">
      <c r="A167" s="43" t="n">
        <v>160</v>
      </c>
      <c r="B167" s="43" t="n"/>
      <c r="C167" s="43" t="n"/>
      <c r="D167" s="7" t="n"/>
      <c r="L167" s="7" t="n"/>
      <c r="N167" s="7" t="n"/>
      <c r="O167" s="7" t="n"/>
      <c r="P167" s="7" t="n"/>
      <c r="Y167" s="24" t="n"/>
      <c r="AH167" s="7" t="n"/>
      <c r="AJ167" s="7" t="n"/>
      <c r="AK167" s="7" t="n"/>
      <c r="AL167" s="7" t="n"/>
      <c r="AU167" s="31">
        <f>SUM(AA167:AL167)+(IF(AM167&lt;&gt;"",AM167,AN167))+(IF(AO167&lt;&gt;"",AO167,AP167))+(IF(AQ167&lt;&gt;"",AQ167,AR167))+(IF(AS167&lt;&gt;"",AS167,AT167))</f>
        <v/>
      </c>
      <c r="BT167" s="36">
        <f>SUMPRODUCT(($AW$5:$BQ$5="CO1")*AW167:BQ167)</f>
        <v/>
      </c>
      <c r="BU167" s="33">
        <f>SUMPRODUCT(($E$5:$BJ$5="CO2")*(ISNUMBER(L167:BQ167))*(L167:BQ167&gt;0), L167:BQ167)</f>
        <v/>
      </c>
      <c r="BV167" s="33">
        <f>SUMPRODUCT(($E$5:$BJ$5="CO3")*(ISNUMBER(L167:BQ167))*(L167:BQ167&gt;0), L167:BQ167)</f>
        <v/>
      </c>
      <c r="BW167" s="36">
        <f>SUMPRODUCT(($AW$5:$BR$5="CO4")*AW167:BR167)</f>
        <v/>
      </c>
      <c r="BX167" s="33">
        <f>SUMPRODUCT(($E$5:$BJ$5="CO5")*(ISNUMBER(L167:BQ167))*(L167:BQ167&gt;0), L167:BQ167)</f>
        <v/>
      </c>
      <c r="BY167" s="33">
        <f>SUMPRODUCT(($E$5:$BJ$5="CO6")*(ISNUMBER(L167:BQ167))*(L167:BQ167&gt;0), L167:BQ167)</f>
        <v/>
      </c>
      <c r="BZ167" s="33">
        <f>SUM(BT167:BY167)</f>
        <v/>
      </c>
      <c r="CB167" s="38">
        <f>BT167/$BM$7*100</f>
        <v/>
      </c>
      <c r="CC167" s="38">
        <f>BU167/$BN$7*100</f>
        <v/>
      </c>
      <c r="CD167" s="38">
        <f>BV167/$BO$7*100</f>
        <v/>
      </c>
      <c r="CE167" s="38">
        <f>BW167/$BP$7*100</f>
        <v/>
      </c>
      <c r="CF167" s="38">
        <f>BX167/$BQ$7*100</f>
        <v/>
      </c>
      <c r="CG167" s="38">
        <f>BY167/$BR$7*100</f>
        <v/>
      </c>
    </row>
    <row r="168" ht="15.5" customHeight="1">
      <c r="A168" s="43" t="n">
        <v>161</v>
      </c>
      <c r="B168" s="43" t="n"/>
      <c r="C168" s="43" t="n"/>
      <c r="D168" s="7" t="n"/>
      <c r="L168" s="7" t="n"/>
      <c r="N168" s="7" t="n"/>
      <c r="O168" s="7" t="n"/>
      <c r="P168" s="7" t="n"/>
      <c r="Y168" s="24" t="n"/>
      <c r="AH168" s="7" t="n"/>
      <c r="AJ168" s="7" t="n"/>
      <c r="AK168" s="7" t="n"/>
      <c r="AL168" s="7" t="n"/>
      <c r="AU168" s="31">
        <f>SUM(AA168:AL168)+(IF(AM168&lt;&gt;"",AM168,AN168))+(IF(AO168&lt;&gt;"",AO168,AP168))+(IF(AQ168&lt;&gt;"",AQ168,AR168))+(IF(AS168&lt;&gt;"",AS168,AT168))</f>
        <v/>
      </c>
      <c r="BT168" s="36">
        <f>SUMPRODUCT(($AW$5:$BQ$5="CO1")*AW168:BQ168)</f>
        <v/>
      </c>
      <c r="BU168" s="33">
        <f>SUMPRODUCT(($E$5:$BJ$5="CO2")*(ISNUMBER(L168:BQ168))*(L168:BQ168&gt;0), L168:BQ168)</f>
        <v/>
      </c>
      <c r="BV168" s="33">
        <f>SUMPRODUCT(($E$5:$BJ$5="CO3")*(ISNUMBER(L168:BQ168))*(L168:BQ168&gt;0), L168:BQ168)</f>
        <v/>
      </c>
      <c r="BW168" s="36">
        <f>SUMPRODUCT(($AW$5:$BR$5="CO4")*AW168:BR168)</f>
        <v/>
      </c>
      <c r="BX168" s="33">
        <f>SUMPRODUCT(($E$5:$BJ$5="CO5")*(ISNUMBER(L168:BQ168))*(L168:BQ168&gt;0), L168:BQ168)</f>
        <v/>
      </c>
      <c r="BY168" s="33">
        <f>SUMPRODUCT(($E$5:$BJ$5="CO6")*(ISNUMBER(L168:BQ168))*(L168:BQ168&gt;0), L168:BQ168)</f>
        <v/>
      </c>
      <c r="BZ168" s="33">
        <f>SUM(BT168:BY168)</f>
        <v/>
      </c>
      <c r="CB168" s="38">
        <f>BT168/$BM$7*100</f>
        <v/>
      </c>
      <c r="CC168" s="38">
        <f>BU168/$BN$7*100</f>
        <v/>
      </c>
      <c r="CD168" s="38">
        <f>BV168/$BO$7*100</f>
        <v/>
      </c>
      <c r="CE168" s="38">
        <f>BW168/$BP$7*100</f>
        <v/>
      </c>
      <c r="CF168" s="38">
        <f>BX168/$BQ$7*100</f>
        <v/>
      </c>
      <c r="CG168" s="38">
        <f>BY168/$BR$7*100</f>
        <v/>
      </c>
    </row>
    <row r="169" ht="15.5" customHeight="1">
      <c r="A169" s="43" t="n">
        <v>162</v>
      </c>
      <c r="B169" s="43" t="n"/>
      <c r="C169" s="43" t="n"/>
      <c r="D169" s="7" t="n"/>
      <c r="L169" s="7" t="n"/>
      <c r="N169" s="7" t="n"/>
      <c r="O169" s="7" t="n"/>
      <c r="P169" s="7" t="n"/>
      <c r="Y169" s="24" t="n"/>
      <c r="AH169" s="7" t="n"/>
      <c r="AJ169" s="7" t="n"/>
      <c r="AK169" s="7" t="n"/>
      <c r="AL169" s="7" t="n"/>
      <c r="AU169" s="31">
        <f>SUM(AA169:AL169)+(IF(AM169&lt;&gt;"",AM169,AN169))+(IF(AO169&lt;&gt;"",AO169,AP169))+(IF(AQ169&lt;&gt;"",AQ169,AR169))+(IF(AS169&lt;&gt;"",AS169,AT169))</f>
        <v/>
      </c>
      <c r="BT169" s="36">
        <f>SUMPRODUCT(($AW$5:$BQ$5="CO1")*AW169:BQ169)</f>
        <v/>
      </c>
      <c r="BU169" s="33">
        <f>SUMPRODUCT(($E$5:$BJ$5="CO2")*(ISNUMBER(L169:BQ169))*(L169:BQ169&gt;0), L169:BQ169)</f>
        <v/>
      </c>
      <c r="BV169" s="33">
        <f>SUMPRODUCT(($E$5:$BJ$5="CO3")*(ISNUMBER(L169:BQ169))*(L169:BQ169&gt;0), L169:BQ169)</f>
        <v/>
      </c>
      <c r="BW169" s="36">
        <f>SUMPRODUCT(($AW$5:$BR$5="CO4")*AW169:BR169)</f>
        <v/>
      </c>
      <c r="BX169" s="33">
        <f>SUMPRODUCT(($E$5:$BJ$5="CO5")*(ISNUMBER(L169:BQ169))*(L169:BQ169&gt;0), L169:BQ169)</f>
        <v/>
      </c>
      <c r="BY169" s="33">
        <f>SUMPRODUCT(($E$5:$BJ$5="CO6")*(ISNUMBER(L169:BQ169))*(L169:BQ169&gt;0), L169:BQ169)</f>
        <v/>
      </c>
      <c r="BZ169" s="33">
        <f>SUM(BT169:BY169)</f>
        <v/>
      </c>
      <c r="CB169" s="38">
        <f>BT169/$BM$7*100</f>
        <v/>
      </c>
      <c r="CC169" s="38">
        <f>BU169/$BN$7*100</f>
        <v/>
      </c>
      <c r="CD169" s="38">
        <f>BV169/$BO$7*100</f>
        <v/>
      </c>
      <c r="CE169" s="38">
        <f>BW169/$BP$7*100</f>
        <v/>
      </c>
      <c r="CF169" s="38">
        <f>BX169/$BQ$7*100</f>
        <v/>
      </c>
      <c r="CG169" s="38">
        <f>BY169/$BR$7*100</f>
        <v/>
      </c>
    </row>
    <row r="170" ht="15.5" customHeight="1">
      <c r="A170" s="43" t="n">
        <v>163</v>
      </c>
      <c r="B170" s="43" t="n"/>
      <c r="C170" s="43" t="n"/>
      <c r="D170" s="7" t="n"/>
      <c r="L170" s="7" t="n"/>
      <c r="N170" s="7" t="n"/>
      <c r="O170" s="7" t="n"/>
      <c r="P170" s="7" t="n"/>
      <c r="Y170" s="24" t="n"/>
      <c r="AH170" s="7" t="n"/>
      <c r="AJ170" s="7" t="n"/>
      <c r="AK170" s="7" t="n"/>
      <c r="AL170" s="7" t="n"/>
      <c r="AU170" s="31">
        <f>SUM(AA170:AL170)+(IF(AM170&lt;&gt;"",AM170,AN170))+(IF(AO170&lt;&gt;"",AO170,AP170))+(IF(AQ170&lt;&gt;"",AQ170,AR170))+(IF(AS170&lt;&gt;"",AS170,AT170))</f>
        <v/>
      </c>
      <c r="BT170" s="36">
        <f>SUMPRODUCT(($AW$5:$BQ$5="CO1")*AW170:BQ170)</f>
        <v/>
      </c>
      <c r="BU170" s="33">
        <f>SUMPRODUCT(($E$5:$BJ$5="CO2")*(ISNUMBER(L170:BQ170))*(L170:BQ170&gt;0), L170:BQ170)</f>
        <v/>
      </c>
      <c r="BV170" s="33">
        <f>SUMPRODUCT(($E$5:$BJ$5="CO3")*(ISNUMBER(L170:BQ170))*(L170:BQ170&gt;0), L170:BQ170)</f>
        <v/>
      </c>
      <c r="BW170" s="36">
        <f>SUMPRODUCT(($AW$5:$BR$5="CO4")*AW170:BR170)</f>
        <v/>
      </c>
      <c r="BX170" s="33">
        <f>SUMPRODUCT(($E$5:$BJ$5="CO5")*(ISNUMBER(L170:BQ170))*(L170:BQ170&gt;0), L170:BQ170)</f>
        <v/>
      </c>
      <c r="BY170" s="33">
        <f>SUMPRODUCT(($E$5:$BJ$5="CO6")*(ISNUMBER(L170:BQ170))*(L170:BQ170&gt;0), L170:BQ170)</f>
        <v/>
      </c>
      <c r="BZ170" s="33">
        <f>SUM(BT170:BY170)</f>
        <v/>
      </c>
      <c r="CB170" s="38">
        <f>BT170/$BM$7*100</f>
        <v/>
      </c>
      <c r="CC170" s="38">
        <f>BU170/$BN$7*100</f>
        <v/>
      </c>
      <c r="CD170" s="38">
        <f>BV170/$BO$7*100</f>
        <v/>
      </c>
      <c r="CE170" s="38">
        <f>BW170/$BP$7*100</f>
        <v/>
      </c>
      <c r="CF170" s="38">
        <f>BX170/$BQ$7*100</f>
        <v/>
      </c>
      <c r="CG170" s="38">
        <f>BY170/$BR$7*100</f>
        <v/>
      </c>
    </row>
    <row r="171" ht="15.5" customHeight="1">
      <c r="A171" s="43" t="n">
        <v>164</v>
      </c>
      <c r="B171" s="43" t="n"/>
      <c r="C171" s="43" t="n"/>
      <c r="D171" s="7" t="n"/>
      <c r="L171" s="7" t="n"/>
      <c r="N171" s="7" t="n"/>
      <c r="O171" s="7" t="n"/>
      <c r="P171" s="7" t="n"/>
      <c r="Y171" s="24" t="n"/>
      <c r="AH171" s="7" t="n"/>
      <c r="AJ171" s="7" t="n"/>
      <c r="AK171" s="7" t="n"/>
      <c r="AL171" s="7" t="n"/>
      <c r="AU171" s="31">
        <f>SUM(AA171:AL171)+(IF(AM171&lt;&gt;"",AM171,AN171))+(IF(AO171&lt;&gt;"",AO171,AP171))+(IF(AQ171&lt;&gt;"",AQ171,AR171))+(IF(AS171&lt;&gt;"",AS171,AT171))</f>
        <v/>
      </c>
      <c r="BT171" s="36">
        <f>SUMPRODUCT(($AW$5:$BQ$5="CO1")*AW171:BQ171)</f>
        <v/>
      </c>
      <c r="BU171" s="33">
        <f>SUMPRODUCT(($E$5:$BJ$5="CO2")*(ISNUMBER(L171:BQ171))*(L171:BQ171&gt;0), L171:BQ171)</f>
        <v/>
      </c>
      <c r="BV171" s="33">
        <f>SUMPRODUCT(($E$5:$BJ$5="CO3")*(ISNUMBER(L171:BQ171))*(L171:BQ171&gt;0), L171:BQ171)</f>
        <v/>
      </c>
      <c r="BW171" s="36">
        <f>SUMPRODUCT(($AW$5:$BR$5="CO4")*AW171:BR171)</f>
        <v/>
      </c>
      <c r="BX171" s="33">
        <f>SUMPRODUCT(($E$5:$BJ$5="CO5")*(ISNUMBER(L171:BQ171))*(L171:BQ171&gt;0), L171:BQ171)</f>
        <v/>
      </c>
      <c r="BY171" s="33">
        <f>SUMPRODUCT(($E$5:$BJ$5="CO6")*(ISNUMBER(L171:BQ171))*(L171:BQ171&gt;0), L171:BQ171)</f>
        <v/>
      </c>
      <c r="BZ171" s="33">
        <f>SUM(BT171:BY171)</f>
        <v/>
      </c>
      <c r="CB171" s="38">
        <f>BT171/$BM$7*100</f>
        <v/>
      </c>
      <c r="CC171" s="38">
        <f>BU171/$BN$7*100</f>
        <v/>
      </c>
      <c r="CD171" s="38">
        <f>BV171/$BO$7*100</f>
        <v/>
      </c>
      <c r="CE171" s="38">
        <f>BW171/$BP$7*100</f>
        <v/>
      </c>
      <c r="CF171" s="38">
        <f>BX171/$BQ$7*100</f>
        <v/>
      </c>
      <c r="CG171" s="38">
        <f>BY171/$BR$7*100</f>
        <v/>
      </c>
    </row>
    <row r="172" ht="15.5" customHeight="1">
      <c r="A172" s="43" t="n">
        <v>165</v>
      </c>
      <c r="B172" s="43" t="n"/>
      <c r="C172" s="43" t="n"/>
      <c r="D172" s="7" t="n"/>
      <c r="L172" s="7" t="n"/>
      <c r="N172" s="7" t="n"/>
      <c r="O172" s="7" t="n"/>
      <c r="P172" s="7" t="n"/>
      <c r="Y172" s="24" t="n"/>
      <c r="AH172" s="7" t="n"/>
      <c r="AJ172" s="7" t="n"/>
      <c r="AK172" s="7" t="n"/>
      <c r="AL172" s="7" t="n"/>
      <c r="AU172" s="31">
        <f>SUM(AA172:AL172)+(IF(AM172&lt;&gt;"",AM172,AN172))+(IF(AO172&lt;&gt;"",AO172,AP172))+(IF(AQ172&lt;&gt;"",AQ172,AR172))+(IF(AS172&lt;&gt;"",AS172,AT172))</f>
        <v/>
      </c>
      <c r="BT172" s="36">
        <f>SUMPRODUCT(($AW$5:$BQ$5="CO1")*AW172:BQ172)</f>
        <v/>
      </c>
      <c r="BU172" s="33">
        <f>SUMPRODUCT(($E$5:$BJ$5="CO2")*(ISNUMBER(L172:BQ172))*(L172:BQ172&gt;0), L172:BQ172)</f>
        <v/>
      </c>
      <c r="BV172" s="33">
        <f>SUMPRODUCT(($E$5:$BJ$5="CO3")*(ISNUMBER(L172:BQ172))*(L172:BQ172&gt;0), L172:BQ172)</f>
        <v/>
      </c>
      <c r="BW172" s="36">
        <f>SUMPRODUCT(($AW$5:$BR$5="CO4")*AW172:BR172)</f>
        <v/>
      </c>
      <c r="BX172" s="33">
        <f>SUMPRODUCT(($E$5:$BJ$5="CO5")*(ISNUMBER(L172:BQ172))*(L172:BQ172&gt;0), L172:BQ172)</f>
        <v/>
      </c>
      <c r="BY172" s="33">
        <f>SUMPRODUCT(($E$5:$BJ$5="CO6")*(ISNUMBER(L172:BQ172))*(L172:BQ172&gt;0), L172:BQ172)</f>
        <v/>
      </c>
      <c r="BZ172" s="33">
        <f>SUM(BT172:BY172)</f>
        <v/>
      </c>
      <c r="CB172" s="38">
        <f>BT172/$BM$7*100</f>
        <v/>
      </c>
      <c r="CC172" s="38">
        <f>BU172/$BN$7*100</f>
        <v/>
      </c>
      <c r="CD172" s="38">
        <f>BV172/$BO$7*100</f>
        <v/>
      </c>
      <c r="CE172" s="38">
        <f>BW172/$BP$7*100</f>
        <v/>
      </c>
      <c r="CF172" s="38">
        <f>BX172/$BQ$7*100</f>
        <v/>
      </c>
      <c r="CG172" s="38">
        <f>BY172/$BR$7*100</f>
        <v/>
      </c>
    </row>
    <row r="173" ht="15.5" customHeight="1">
      <c r="A173" s="43" t="n">
        <v>166</v>
      </c>
      <c r="B173" s="43" t="n"/>
      <c r="C173" s="43" t="n"/>
      <c r="D173" s="7" t="n"/>
      <c r="L173" s="7" t="n"/>
      <c r="N173" s="7" t="n"/>
      <c r="O173" s="7" t="n"/>
      <c r="P173" s="7" t="n"/>
      <c r="Y173" s="24" t="n"/>
      <c r="AH173" s="7" t="n"/>
      <c r="AJ173" s="7" t="n"/>
      <c r="AK173" s="7" t="n"/>
      <c r="AL173" s="7" t="n"/>
      <c r="AU173" s="31">
        <f>SUM(AA173:AL173)+(IF(AM173&lt;&gt;"",AM173,AN173))+(IF(AO173&lt;&gt;"",AO173,AP173))+(IF(AQ173&lt;&gt;"",AQ173,AR173))+(IF(AS173&lt;&gt;"",AS173,AT173))</f>
        <v/>
      </c>
      <c r="BT173" s="36">
        <f>SUMPRODUCT(($AW$5:$BQ$5="CO1")*AW173:BQ173)</f>
        <v/>
      </c>
      <c r="BU173" s="33">
        <f>SUMPRODUCT(($E$5:$BJ$5="CO2")*(ISNUMBER(L173:BQ173))*(L173:BQ173&gt;0), L173:BQ173)</f>
        <v/>
      </c>
      <c r="BV173" s="33">
        <f>SUMPRODUCT(($E$5:$BJ$5="CO3")*(ISNUMBER(L173:BQ173))*(L173:BQ173&gt;0), L173:BQ173)</f>
        <v/>
      </c>
      <c r="BW173" s="36">
        <f>SUMPRODUCT(($AW$5:$BR$5="CO4")*AW173:BR173)</f>
        <v/>
      </c>
      <c r="BX173" s="33">
        <f>SUMPRODUCT(($E$5:$BJ$5="CO5")*(ISNUMBER(L173:BQ173))*(L173:BQ173&gt;0), L173:BQ173)</f>
        <v/>
      </c>
      <c r="BY173" s="33">
        <f>SUMPRODUCT(($E$5:$BJ$5="CO6")*(ISNUMBER(L173:BQ173))*(L173:BQ173&gt;0), L173:BQ173)</f>
        <v/>
      </c>
      <c r="BZ173" s="33">
        <f>SUM(BT173:BY173)</f>
        <v/>
      </c>
      <c r="CB173" s="38">
        <f>BT173/$BM$7*100</f>
        <v/>
      </c>
      <c r="CC173" s="38">
        <f>BU173/$BN$7*100</f>
        <v/>
      </c>
      <c r="CD173" s="38">
        <f>BV173/$BO$7*100</f>
        <v/>
      </c>
      <c r="CE173" s="38">
        <f>BW173/$BP$7*100</f>
        <v/>
      </c>
      <c r="CF173" s="38">
        <f>BX173/$BQ$7*100</f>
        <v/>
      </c>
      <c r="CG173" s="38">
        <f>BY173/$BR$7*100</f>
        <v/>
      </c>
    </row>
    <row r="174" ht="15.5" customHeight="1">
      <c r="A174" s="43" t="n">
        <v>167</v>
      </c>
      <c r="B174" s="43" t="n"/>
      <c r="C174" s="43" t="n"/>
      <c r="D174" s="7" t="n"/>
      <c r="L174" s="7" t="n"/>
      <c r="N174" s="7" t="n"/>
      <c r="O174" s="7" t="n"/>
      <c r="P174" s="7" t="n"/>
      <c r="Y174" s="24" t="n"/>
      <c r="AH174" s="7" t="n"/>
      <c r="AJ174" s="7" t="n"/>
      <c r="AK174" s="7" t="n"/>
      <c r="AL174" s="7" t="n"/>
      <c r="AU174" s="31">
        <f>SUM(AA174:AL174)+(IF(AM174&lt;&gt;"",AM174,AN174))+(IF(AO174&lt;&gt;"",AO174,AP174))+(IF(AQ174&lt;&gt;"",AQ174,AR174))+(IF(AS174&lt;&gt;"",AS174,AT174))</f>
        <v/>
      </c>
      <c r="BT174" s="36">
        <f>SUMPRODUCT(($AW$5:$BQ$5="CO1")*AW174:BQ174)</f>
        <v/>
      </c>
      <c r="BU174" s="33">
        <f>SUMPRODUCT(($E$5:$BJ$5="CO2")*(ISNUMBER(L174:BQ174))*(L174:BQ174&gt;0), L174:BQ174)</f>
        <v/>
      </c>
      <c r="BV174" s="33">
        <f>SUMPRODUCT(($E$5:$BJ$5="CO3")*(ISNUMBER(L174:BQ174))*(L174:BQ174&gt;0), L174:BQ174)</f>
        <v/>
      </c>
      <c r="BW174" s="33">
        <f>SUMPRODUCT(($E$5:$BJ$5="CO4")*(ISNUMBER(L174:BQ174))*(L174:BQ174&gt;0), L174:BQ174)</f>
        <v/>
      </c>
      <c r="BX174" s="33">
        <f>SUMPRODUCT(($E$5:$BJ$5="CO5")*(ISNUMBER(L174:BQ174))*(L174:BQ174&gt;0), L174:BQ174)</f>
        <v/>
      </c>
      <c r="BY174" s="33">
        <f>SUMPRODUCT(($E$5:$BJ$5="CO6")*(ISNUMBER(L174:BQ174))*(L174:BQ174&gt;0), L174:BQ174)</f>
        <v/>
      </c>
      <c r="BZ174" s="33">
        <f>SUM(BT174:BY174)</f>
        <v/>
      </c>
      <c r="CB174" s="38">
        <f>BT174/$BM$7*100</f>
        <v/>
      </c>
      <c r="CC174" s="38">
        <f>BU174/$BN$7*100</f>
        <v/>
      </c>
      <c r="CD174" s="38">
        <f>BV174/$BO$7*100</f>
        <v/>
      </c>
      <c r="CE174" s="38">
        <f>BW174/$BP$7*100</f>
        <v/>
      </c>
      <c r="CF174" s="38">
        <f>BX174/$BQ$7*100</f>
        <v/>
      </c>
      <c r="CG174" s="38">
        <f>BY174/$BR$7*100</f>
        <v/>
      </c>
    </row>
    <row r="175" ht="15.5" customHeight="1">
      <c r="A175" s="43" t="n">
        <v>168</v>
      </c>
      <c r="B175" s="43" t="n"/>
      <c r="C175" s="43" t="n"/>
      <c r="D175" s="7" t="n"/>
      <c r="L175" s="7" t="n"/>
      <c r="N175" s="7" t="n"/>
      <c r="O175" s="7" t="n"/>
      <c r="P175" s="7" t="n"/>
      <c r="Y175" s="24" t="n"/>
      <c r="AH175" s="7" t="n"/>
      <c r="AJ175" s="7" t="n"/>
      <c r="AK175" s="7" t="n"/>
      <c r="AL175" s="7" t="n"/>
      <c r="AU175" s="31">
        <f>SUM(AA175:AL175)+(IF(AM175&lt;&gt;"",AM175,AN175))+(IF(AO175&lt;&gt;"",AO175,AP175))+(IF(AQ175&lt;&gt;"",AQ175,AR175))+(IF(AS175&lt;&gt;"",AS175,AT175))</f>
        <v/>
      </c>
      <c r="BT175" s="36">
        <f>SUMPRODUCT(($AW$5:$BQ$5="CO1")*AW175:BQ175)</f>
        <v/>
      </c>
      <c r="BU175" s="33">
        <f>SUMPRODUCT(($E$5:$BJ$5="CO2")*(ISNUMBER(L175:BQ175))*(L175:BQ175&gt;0), L175:BQ175)</f>
        <v/>
      </c>
      <c r="BV175" s="33">
        <f>SUMPRODUCT(($E$5:$BJ$5="CO3")*(ISNUMBER(L175:BQ175))*(L175:BQ175&gt;0), L175:BQ175)</f>
        <v/>
      </c>
      <c r="BW175" s="33">
        <f>SUMPRODUCT(($E$5:$BJ$5="CO4")*(ISNUMBER(L175:BQ175))*(L175:BQ175&gt;0), L175:BQ175)</f>
        <v/>
      </c>
      <c r="BX175" s="33">
        <f>SUMPRODUCT(($E$5:$BJ$5="CO5")*(ISNUMBER(L175:BQ175))*(L175:BQ175&gt;0), L175:BQ175)</f>
        <v/>
      </c>
      <c r="BY175" s="33">
        <f>SUMPRODUCT(($E$5:$BJ$5="CO6")*(ISNUMBER(L175:BQ175))*(L175:BQ175&gt;0), L175:BQ175)</f>
        <v/>
      </c>
      <c r="BZ175" s="33">
        <f>SUM(BT175:BY175)</f>
        <v/>
      </c>
      <c r="CB175" s="38">
        <f>BT175/$BM$7*100</f>
        <v/>
      </c>
      <c r="CC175" s="38">
        <f>BU175/$BN$7*100</f>
        <v/>
      </c>
      <c r="CD175" s="38">
        <f>BV175/$BO$7*100</f>
        <v/>
      </c>
      <c r="CE175" s="38">
        <f>BW175/$BP$7*100</f>
        <v/>
      </c>
      <c r="CF175" s="38">
        <f>BX175/$BQ$7*100</f>
        <v/>
      </c>
      <c r="CG175" s="38">
        <f>BY175/$BR$7*100</f>
        <v/>
      </c>
    </row>
    <row r="176" ht="15.5" customHeight="1">
      <c r="A176" s="43" t="n">
        <v>169</v>
      </c>
      <c r="B176" s="43" t="n"/>
      <c r="C176" s="43" t="n"/>
      <c r="D176" s="7" t="n"/>
      <c r="L176" s="7" t="n"/>
      <c r="N176" s="7" t="n"/>
      <c r="O176" s="7" t="n"/>
      <c r="P176" s="7" t="n"/>
      <c r="Y176" s="24" t="n"/>
      <c r="AH176" s="7" t="n"/>
      <c r="AJ176" s="7" t="n"/>
      <c r="AK176" s="7" t="n"/>
      <c r="AL176" s="7" t="n"/>
      <c r="AU176" s="31">
        <f>SUM(AA176:AL176)+(IF(AM176&lt;&gt;"",AM176,AN176))+(IF(AO176&lt;&gt;"",AO176,AP176))+(IF(AQ176&lt;&gt;"",AQ176,AR176))+(IF(AS176&lt;&gt;"",AS176,AT176))</f>
        <v/>
      </c>
      <c r="BT176" s="36">
        <f>SUMPRODUCT(($AW$5:$BQ$5="CO1")*AW176:BQ176)</f>
        <v/>
      </c>
      <c r="BU176" s="33">
        <f>SUMPRODUCT(($E$5:$BJ$5="CO2")*(ISNUMBER(L176:BQ176))*(L176:BQ176&gt;0), L176:BQ176)</f>
        <v/>
      </c>
      <c r="BV176" s="33">
        <f>SUMPRODUCT(($E$5:$BJ$5="CO3")*(ISNUMBER(L176:BQ176))*(L176:BQ176&gt;0), L176:BQ176)</f>
        <v/>
      </c>
      <c r="BW176" s="33">
        <f>SUMPRODUCT(($E$5:$BJ$5="CO4")*(ISNUMBER(L176:BQ176))*(L176:BQ176&gt;0), L176:BQ176)</f>
        <v/>
      </c>
      <c r="BX176" s="33">
        <f>SUMPRODUCT(($E$5:$BJ$5="CO5")*(ISNUMBER(L176:BQ176))*(L176:BQ176&gt;0), L176:BQ176)</f>
        <v/>
      </c>
      <c r="BY176" s="33">
        <f>SUMPRODUCT(($E$5:$BJ$5="CO6")*(ISNUMBER(L176:BQ176))*(L176:BQ176&gt;0), L176:BQ176)</f>
        <v/>
      </c>
      <c r="BZ176" s="33">
        <f>SUM(BT176:BY176)</f>
        <v/>
      </c>
      <c r="CB176" s="38">
        <f>BT176/$BM$7*100</f>
        <v/>
      </c>
      <c r="CC176" s="38">
        <f>BU176/$BN$7*100</f>
        <v/>
      </c>
      <c r="CD176" s="38">
        <f>BV176/$BO$7*100</f>
        <v/>
      </c>
      <c r="CE176" s="38">
        <f>BW176/$BP$7*100</f>
        <v/>
      </c>
      <c r="CF176" s="38">
        <f>BX176/$BQ$7*100</f>
        <v/>
      </c>
      <c r="CG176" s="38">
        <f>BY176/$BR$7*100</f>
        <v/>
      </c>
    </row>
    <row r="177" ht="15.5" customHeight="1">
      <c r="A177" s="43" t="n">
        <v>170</v>
      </c>
      <c r="B177" s="43" t="n"/>
      <c r="C177" s="43" t="n"/>
      <c r="D177" s="7" t="n"/>
      <c r="L177" s="7" t="n"/>
      <c r="N177" s="7" t="n"/>
      <c r="O177" s="7" t="n"/>
      <c r="P177" s="7" t="n"/>
      <c r="Y177" s="24" t="n"/>
      <c r="AH177" s="7" t="n"/>
      <c r="AJ177" s="7" t="n"/>
      <c r="AK177" s="7" t="n"/>
      <c r="AL177" s="7" t="n"/>
      <c r="AU177" s="31">
        <f>SUM(AA177:AL177)+(IF(AM177&lt;&gt;"",AM177,AN177))+(IF(AO177&lt;&gt;"",AO177,AP177))+(IF(AQ177&lt;&gt;"",AQ177,AR177))+(IF(AS177&lt;&gt;"",AS177,AT177))</f>
        <v/>
      </c>
      <c r="BT177" s="36">
        <f>SUMPRODUCT(($AW$5:$BQ$5="CO1")*AW177:BQ177)</f>
        <v/>
      </c>
      <c r="BU177" s="33">
        <f>SUMPRODUCT(($E$5:$BJ$5="CO2")*(ISNUMBER(L177:BQ177))*(L177:BQ177&gt;0), L177:BQ177)</f>
        <v/>
      </c>
      <c r="BV177" s="33">
        <f>SUMPRODUCT(($E$5:$BJ$5="CO3")*(ISNUMBER(L177:BQ177))*(L177:BQ177&gt;0), L177:BQ177)</f>
        <v/>
      </c>
      <c r="BW177" s="33">
        <f>SUMPRODUCT(($E$5:$BJ$5="CO4")*(ISNUMBER(L177:BQ177))*(L177:BQ177&gt;0), L177:BQ177)</f>
        <v/>
      </c>
      <c r="BX177" s="33">
        <f>SUMPRODUCT(($E$5:$BJ$5="CO5")*(ISNUMBER(L177:BQ177))*(L177:BQ177&gt;0), L177:BQ177)</f>
        <v/>
      </c>
      <c r="BY177" s="33">
        <f>SUMPRODUCT(($E$5:$BJ$5="CO6")*(ISNUMBER(L177:BQ177))*(L177:BQ177&gt;0), L177:BQ177)</f>
        <v/>
      </c>
      <c r="BZ177" s="33">
        <f>SUM(BT177:BY177)</f>
        <v/>
      </c>
      <c r="CB177" s="38">
        <f>BT177/$BM$7*100</f>
        <v/>
      </c>
      <c r="CC177" s="38">
        <f>BU177/$BN$7*100</f>
        <v/>
      </c>
      <c r="CD177" s="38">
        <f>BV177/$BO$7*100</f>
        <v/>
      </c>
      <c r="CE177" s="38">
        <f>BW177/$BP$7*100</f>
        <v/>
      </c>
      <c r="CF177" s="38">
        <f>BX177/$BQ$7*100</f>
        <v/>
      </c>
      <c r="CG177" s="38">
        <f>BY177/$BR$7*100</f>
        <v/>
      </c>
    </row>
    <row r="178" ht="15.5" customHeight="1">
      <c r="A178" s="43" t="n">
        <v>171</v>
      </c>
      <c r="B178" s="43" t="n"/>
      <c r="C178" s="43" t="n"/>
      <c r="D178" s="7" t="n"/>
      <c r="L178" s="7" t="n"/>
      <c r="N178" s="7" t="n"/>
      <c r="O178" s="7" t="n"/>
      <c r="P178" s="7" t="n"/>
      <c r="Y178" s="24" t="n"/>
      <c r="AH178" s="7" t="n"/>
      <c r="AJ178" s="7" t="n"/>
      <c r="AK178" s="7" t="n"/>
      <c r="AL178" s="7" t="n"/>
      <c r="AU178" s="31">
        <f>SUM(AA178:AL178)+(IF(AM178&lt;&gt;"",AM178,AN178))+(IF(AO178&lt;&gt;"",AO178,AP178))+(IF(AQ178&lt;&gt;"",AQ178,AR178))+(IF(AS178&lt;&gt;"",AS178,AT178))</f>
        <v/>
      </c>
      <c r="BT178" s="36">
        <f>SUMPRODUCT(($AW$5:$BQ$5="CO1")*AW178:BQ178)</f>
        <v/>
      </c>
      <c r="BU178" s="33">
        <f>SUMPRODUCT(($E$5:$BJ$5="CO2")*(ISNUMBER(L178:BQ178))*(L178:BQ178&gt;0), L178:BQ178)</f>
        <v/>
      </c>
      <c r="BV178" s="33">
        <f>SUMPRODUCT(($E$5:$BJ$5="CO3")*(ISNUMBER(L178:BQ178))*(L178:BQ178&gt;0), L178:BQ178)</f>
        <v/>
      </c>
      <c r="BW178" s="33">
        <f>SUMPRODUCT(($E$5:$BJ$5="CO4")*(ISNUMBER(L178:BQ178))*(L178:BQ178&gt;0), L178:BQ178)</f>
        <v/>
      </c>
      <c r="BX178" s="33">
        <f>SUMPRODUCT(($E$5:$BJ$5="CO5")*(ISNUMBER(L178:BQ178))*(L178:BQ178&gt;0), L178:BQ178)</f>
        <v/>
      </c>
      <c r="BY178" s="33">
        <f>SUMPRODUCT(($E$5:$BJ$5="CO6")*(ISNUMBER(L178:BQ178))*(L178:BQ178&gt;0), L178:BQ178)</f>
        <v/>
      </c>
      <c r="BZ178" s="33">
        <f>SUM(BT178:BY178)</f>
        <v/>
      </c>
      <c r="CB178" s="38">
        <f>BT178/$BM$7*100</f>
        <v/>
      </c>
      <c r="CC178" s="38">
        <f>BU178/$BN$7*100</f>
        <v/>
      </c>
      <c r="CD178" s="38">
        <f>BV178/$BO$7*100</f>
        <v/>
      </c>
      <c r="CE178" s="38">
        <f>BW178/$BP$7*100</f>
        <v/>
      </c>
      <c r="CF178" s="38">
        <f>BX178/$BQ$7*100</f>
        <v/>
      </c>
      <c r="CG178" s="38">
        <f>BY178/$BR$7*100</f>
        <v/>
      </c>
    </row>
    <row r="179" ht="15.5" customHeight="1">
      <c r="A179" s="43" t="n">
        <v>172</v>
      </c>
      <c r="B179" s="43" t="n"/>
      <c r="C179" s="43" t="n"/>
      <c r="D179" s="7" t="n"/>
      <c r="L179" s="7" t="n"/>
      <c r="N179" s="7" t="n"/>
      <c r="O179" s="7" t="n"/>
      <c r="P179" s="7" t="n"/>
      <c r="Y179" s="24" t="n"/>
      <c r="AH179" s="7" t="n"/>
      <c r="AJ179" s="7" t="n"/>
      <c r="AK179" s="7" t="n"/>
      <c r="AL179" s="7" t="n"/>
      <c r="AU179" s="31">
        <f>SUM(AA179:AL179)+(IF(AM179&lt;&gt;"",AM179,AN179))+(IF(AO179&lt;&gt;"",AO179,AP179))+(IF(AQ179&lt;&gt;"",AQ179,AR179))+(IF(AS179&lt;&gt;"",AS179,AT179))</f>
        <v/>
      </c>
      <c r="BT179" s="36">
        <f>SUMPRODUCT(($AW$5:$BQ$5="CO1")*AW179:BQ179)</f>
        <v/>
      </c>
      <c r="BU179" s="33">
        <f>SUMPRODUCT(($E$5:$BJ$5="CO2")*(ISNUMBER(L179:BQ179))*(L179:BQ179&gt;0), L179:BQ179)</f>
        <v/>
      </c>
      <c r="BV179" s="33">
        <f>SUMPRODUCT(($E$5:$BJ$5="CO3")*(ISNUMBER(L179:BQ179))*(L179:BQ179&gt;0), L179:BQ179)</f>
        <v/>
      </c>
      <c r="BW179" s="33">
        <f>SUMPRODUCT(($E$5:$BJ$5="CO4")*(ISNUMBER(L179:BQ179))*(L179:BQ179&gt;0), L179:BQ179)</f>
        <v/>
      </c>
      <c r="BX179" s="33">
        <f>SUMPRODUCT(($E$5:$BJ$5="CO5")*(ISNUMBER(L179:BQ179))*(L179:BQ179&gt;0), L179:BQ179)</f>
        <v/>
      </c>
      <c r="BY179" s="33">
        <f>SUMPRODUCT(($E$5:$BJ$5="CO6")*(ISNUMBER(L179:BQ179))*(L179:BQ179&gt;0), L179:BQ179)</f>
        <v/>
      </c>
      <c r="BZ179" s="33">
        <f>SUM(BT179:BY179)</f>
        <v/>
      </c>
      <c r="CB179" s="38">
        <f>BT179/$BM$7*100</f>
        <v/>
      </c>
      <c r="CC179" s="38">
        <f>BU179/$BN$7*100</f>
        <v/>
      </c>
      <c r="CD179" s="38">
        <f>BV179/$BO$7*100</f>
        <v/>
      </c>
      <c r="CE179" s="38">
        <f>BW179/$BP$7*100</f>
        <v/>
      </c>
      <c r="CF179" s="38">
        <f>BX179/$BQ$7*100</f>
        <v/>
      </c>
      <c r="CG179" s="38">
        <f>BY179/$BR$7*100</f>
        <v/>
      </c>
    </row>
    <row r="180" ht="15.5" customHeight="1">
      <c r="A180" s="43" t="n">
        <v>173</v>
      </c>
      <c r="B180" s="43" t="n"/>
      <c r="C180" s="43" t="n"/>
      <c r="D180" s="7" t="n"/>
      <c r="L180" s="7" t="n"/>
      <c r="N180" s="7" t="n"/>
      <c r="O180" s="7" t="n"/>
      <c r="P180" s="7" t="n"/>
      <c r="Y180" s="24" t="n"/>
      <c r="AH180" s="7" t="n"/>
      <c r="AJ180" s="7" t="n"/>
      <c r="AK180" s="7" t="n"/>
      <c r="AL180" s="7" t="n"/>
      <c r="AU180" s="31">
        <f>SUM(AA180:AL180)+(IF(AM180&lt;&gt;"",AM180,AN180))+(IF(AO180&lt;&gt;"",AO180,AP180))+(IF(AQ180&lt;&gt;"",AQ180,AR180))+(IF(AS180&lt;&gt;"",AS180,AT180))</f>
        <v/>
      </c>
      <c r="BT180" s="36">
        <f>SUMPRODUCT(($AW$5:$BQ$5="CO1")*AW180:BQ180)</f>
        <v/>
      </c>
      <c r="BU180" s="33">
        <f>SUMPRODUCT(($E$5:$BJ$5="CO2")*(ISNUMBER(L180:BQ180))*(L180:BQ180&gt;0), L180:BQ180)</f>
        <v/>
      </c>
      <c r="BV180" s="33">
        <f>SUMPRODUCT(($E$5:$BJ$5="CO3")*(ISNUMBER(L180:BQ180))*(L180:BQ180&gt;0), L180:BQ180)</f>
        <v/>
      </c>
      <c r="BW180" s="33">
        <f>SUMPRODUCT(($E$5:$BJ$5="CO4")*(ISNUMBER(L180:BQ180))*(L180:BQ180&gt;0), L180:BQ180)</f>
        <v/>
      </c>
      <c r="BX180" s="33">
        <f>SUMPRODUCT(($E$5:$BJ$5="CO5")*(ISNUMBER(L180:BQ180))*(L180:BQ180&gt;0), L180:BQ180)</f>
        <v/>
      </c>
      <c r="BY180" s="33">
        <f>SUMPRODUCT(($E$5:$BJ$5="CO6")*(ISNUMBER(L180:BQ180))*(L180:BQ180&gt;0), L180:BQ180)</f>
        <v/>
      </c>
      <c r="BZ180" s="33">
        <f>SUM(BT180:BY180)</f>
        <v/>
      </c>
      <c r="CB180" s="38">
        <f>BT180/$BM$7*100</f>
        <v/>
      </c>
      <c r="CC180" s="38">
        <f>BU180/$BN$7*100</f>
        <v/>
      </c>
      <c r="CD180" s="38">
        <f>BV180/$BO$7*100</f>
        <v/>
      </c>
      <c r="CE180" s="38">
        <f>BW180/$BP$7*100</f>
        <v/>
      </c>
      <c r="CF180" s="38">
        <f>BX180/$BQ$7*100</f>
        <v/>
      </c>
      <c r="CG180" s="38">
        <f>BY180/$BR$7*100</f>
        <v/>
      </c>
    </row>
    <row r="181" ht="15.5" customHeight="1">
      <c r="A181" s="43" t="n">
        <v>174</v>
      </c>
      <c r="B181" s="43" t="n"/>
      <c r="C181" s="43" t="n"/>
      <c r="D181" s="7" t="n"/>
      <c r="L181" s="7" t="n"/>
      <c r="N181" s="7" t="n"/>
      <c r="O181" s="7" t="n"/>
      <c r="P181" s="7" t="n"/>
      <c r="Y181" s="24" t="n"/>
      <c r="AH181" s="7" t="n"/>
      <c r="AJ181" s="7" t="n"/>
      <c r="AK181" s="7" t="n"/>
      <c r="AL181" s="7" t="n"/>
      <c r="AU181" s="31">
        <f>SUM(AA181:AL181)+(IF(AM181&lt;&gt;"",AM181,AN181))+(IF(AO181&lt;&gt;"",AO181,AP181))+(IF(AQ181&lt;&gt;"",AQ181,AR181))+(IF(AS181&lt;&gt;"",AS181,AT181))</f>
        <v/>
      </c>
      <c r="BT181" s="36">
        <f>SUMPRODUCT(($AW$5:$BQ$5="CO1")*AW181:BQ181)</f>
        <v/>
      </c>
      <c r="BU181" s="33">
        <f>SUMPRODUCT(($E$5:$BJ$5="CO2")*(ISNUMBER(L181:BQ181))*(L181:BQ181&gt;0), L181:BQ181)</f>
        <v/>
      </c>
      <c r="BV181" s="33">
        <f>SUMPRODUCT(($E$5:$BJ$5="CO3")*(ISNUMBER(L181:BQ181))*(L181:BQ181&gt;0), L181:BQ181)</f>
        <v/>
      </c>
      <c r="BW181" s="33">
        <f>SUMPRODUCT(($E$5:$BJ$5="CO4")*(ISNUMBER(L181:BQ181))*(L181:BQ181&gt;0), L181:BQ181)</f>
        <v/>
      </c>
      <c r="BX181" s="33">
        <f>SUMPRODUCT(($E$5:$BJ$5="CO5")*(ISNUMBER(L181:BQ181))*(L181:BQ181&gt;0), L181:BQ181)</f>
        <v/>
      </c>
      <c r="BY181" s="33">
        <f>SUMPRODUCT(($E$5:$BJ$5="CO6")*(ISNUMBER(L181:BQ181))*(L181:BQ181&gt;0), L181:BQ181)</f>
        <v/>
      </c>
      <c r="BZ181" s="33">
        <f>SUM(BT181:BY181)</f>
        <v/>
      </c>
      <c r="CB181" s="38">
        <f>BT181/$BM$7*100</f>
        <v/>
      </c>
      <c r="CC181" s="38">
        <f>BU181/$BN$7*100</f>
        <v/>
      </c>
      <c r="CD181" s="38">
        <f>BV181/$BO$7*100</f>
        <v/>
      </c>
      <c r="CE181" s="38">
        <f>BW181/$BP$7*100</f>
        <v/>
      </c>
      <c r="CF181" s="38">
        <f>BX181/$BQ$7*100</f>
        <v/>
      </c>
      <c r="CG181" s="38">
        <f>BY181/$BR$7*100</f>
        <v/>
      </c>
    </row>
    <row r="182" ht="15.5" customHeight="1">
      <c r="A182" s="43" t="n">
        <v>175</v>
      </c>
      <c r="B182" s="43" t="n"/>
      <c r="C182" s="43" t="n"/>
      <c r="D182" s="7" t="n"/>
      <c r="L182" s="7" t="n"/>
      <c r="N182" s="7" t="n"/>
      <c r="O182" s="7" t="n"/>
      <c r="P182" s="7" t="n"/>
      <c r="Y182" s="24" t="n"/>
      <c r="AH182" s="7" t="n"/>
      <c r="AJ182" s="7" t="n"/>
      <c r="AK182" s="7" t="n"/>
      <c r="AL182" s="7" t="n"/>
      <c r="AU182" s="31">
        <f>SUM(AA182:AL182)+(IF(AM182&lt;&gt;"",AM182,AN182))+(IF(AO182&lt;&gt;"",AO182,AP182))+(IF(AQ182&lt;&gt;"",AQ182,AR182))+(IF(AS182&lt;&gt;"",AS182,AT182))</f>
        <v/>
      </c>
      <c r="BT182" s="36">
        <f>SUMPRODUCT(($AW$5:$BQ$5="CO1")*AW182:BQ182)</f>
        <v/>
      </c>
      <c r="BU182" s="33">
        <f>SUMPRODUCT(($E$5:$BJ$5="CO2")*(ISNUMBER(L182:BQ182))*(L182:BQ182&gt;0), L182:BQ182)</f>
        <v/>
      </c>
      <c r="BV182" s="33">
        <f>SUMPRODUCT(($E$5:$BJ$5="CO3")*(ISNUMBER(L182:BQ182))*(L182:BQ182&gt;0), L182:BQ182)</f>
        <v/>
      </c>
      <c r="BW182" s="33">
        <f>SUMPRODUCT(($E$5:$BJ$5="CO4")*(ISNUMBER(L182:BQ182))*(L182:BQ182&gt;0), L182:BQ182)</f>
        <v/>
      </c>
      <c r="BX182" s="33">
        <f>SUMPRODUCT(($E$5:$BJ$5="CO5")*(ISNUMBER(L182:BQ182))*(L182:BQ182&gt;0), L182:BQ182)</f>
        <v/>
      </c>
      <c r="BY182" s="33">
        <f>SUMPRODUCT(($E$5:$BJ$5="CO6")*(ISNUMBER(L182:BQ182))*(L182:BQ182&gt;0), L182:BQ182)</f>
        <v/>
      </c>
      <c r="BZ182" s="33">
        <f>SUM(BT182:BY182)</f>
        <v/>
      </c>
      <c r="CB182" s="38">
        <f>BT182/$BM$7*100</f>
        <v/>
      </c>
      <c r="CC182" s="38">
        <f>BU182/$BN$7*100</f>
        <v/>
      </c>
      <c r="CD182" s="38">
        <f>BV182/$BO$7*100</f>
        <v/>
      </c>
      <c r="CE182" s="38">
        <f>BW182/$BP$7*100</f>
        <v/>
      </c>
      <c r="CF182" s="38">
        <f>BX182/$BQ$7*100</f>
        <v/>
      </c>
      <c r="CG182" s="38">
        <f>BY182/$BR$7*100</f>
        <v/>
      </c>
    </row>
    <row r="183" ht="15.5" customHeight="1">
      <c r="A183" s="43" t="n">
        <v>176</v>
      </c>
      <c r="B183" s="43" t="n"/>
      <c r="C183" s="43" t="n"/>
      <c r="D183" s="7" t="n"/>
      <c r="L183" s="7" t="n"/>
      <c r="N183" s="7" t="n"/>
      <c r="O183" s="7" t="n"/>
      <c r="P183" s="7" t="n"/>
      <c r="Y183" s="24" t="n"/>
      <c r="AH183" s="7" t="n"/>
      <c r="AJ183" s="7" t="n"/>
      <c r="AK183" s="7" t="n"/>
      <c r="AL183" s="7" t="n"/>
      <c r="AU183" s="31">
        <f>SUM(AA183:AL183)+(IF(AM183&lt;&gt;"",AM183,AN183))+(IF(AO183&lt;&gt;"",AO183,AP183))+(IF(AQ183&lt;&gt;"",AQ183,AR183))+(IF(AS183&lt;&gt;"",AS183,AT183))</f>
        <v/>
      </c>
      <c r="BT183" s="36">
        <f>SUMPRODUCT(($AW$5:$BQ$5="CO1")*AW183:BQ183)</f>
        <v/>
      </c>
      <c r="BU183" s="33">
        <f>SUMPRODUCT(($E$5:$BJ$5="CO2")*(ISNUMBER(L183:BQ183))*(L183:BQ183&gt;0), L183:BQ183)</f>
        <v/>
      </c>
      <c r="BV183" s="33">
        <f>SUMPRODUCT(($E$5:$BJ$5="CO3")*(ISNUMBER(L183:BQ183))*(L183:BQ183&gt;0), L183:BQ183)</f>
        <v/>
      </c>
      <c r="BW183" s="33">
        <f>SUMPRODUCT(($E$5:$BJ$5="CO4")*(ISNUMBER(L183:BQ183))*(L183:BQ183&gt;0), L183:BQ183)</f>
        <v/>
      </c>
      <c r="BX183" s="33">
        <f>SUMPRODUCT(($E$5:$BJ$5="CO5")*(ISNUMBER(L183:BQ183))*(L183:BQ183&gt;0), L183:BQ183)</f>
        <v/>
      </c>
      <c r="BY183" s="33">
        <f>SUMPRODUCT(($E$5:$BJ$5="CO6")*(ISNUMBER(L183:BQ183))*(L183:BQ183&gt;0), L183:BQ183)</f>
        <v/>
      </c>
      <c r="BZ183" s="33">
        <f>SUM(BT183:BY183)</f>
        <v/>
      </c>
      <c r="CB183" s="38">
        <f>BT183/$BM$7*100</f>
        <v/>
      </c>
      <c r="CC183" s="38">
        <f>BU183/$BN$7*100</f>
        <v/>
      </c>
      <c r="CD183" s="38">
        <f>BV183/$BO$7*100</f>
        <v/>
      </c>
      <c r="CE183" s="38">
        <f>BW183/$BP$7*100</f>
        <v/>
      </c>
      <c r="CF183" s="38">
        <f>BX183/$BQ$7*100</f>
        <v/>
      </c>
      <c r="CG183" s="38">
        <f>BY183/$BR$7*100</f>
        <v/>
      </c>
    </row>
    <row r="184" ht="15.5" customHeight="1">
      <c r="A184" s="43" t="n">
        <v>177</v>
      </c>
      <c r="B184" s="43" t="n"/>
      <c r="C184" s="43" t="n"/>
      <c r="D184" s="7" t="n"/>
      <c r="L184" s="7" t="n"/>
      <c r="N184" s="7" t="n"/>
      <c r="O184" s="7" t="n"/>
      <c r="P184" s="7" t="n"/>
      <c r="Y184" s="24" t="n"/>
      <c r="AH184" s="7" t="n"/>
      <c r="AJ184" s="7" t="n"/>
      <c r="AK184" s="7" t="n"/>
      <c r="AL184" s="7" t="n"/>
      <c r="AU184" s="31">
        <f>SUM(AA184:AL184)+(IF(AM184&lt;&gt;"",AM184,AN184))+(IF(AO184&lt;&gt;"",AO184,AP184))+(IF(AQ184&lt;&gt;"",AQ184,AR184))+(IF(AS184&lt;&gt;"",AS184,AT184))</f>
        <v/>
      </c>
      <c r="BT184" s="36">
        <f>SUMPRODUCT(($AW$5:$BQ$5="CO1")*AW184:BQ184)</f>
        <v/>
      </c>
      <c r="BU184" s="33">
        <f>SUMPRODUCT(($E$5:$BJ$5="CO2")*(ISNUMBER(L184:BQ184))*(L184:BQ184&gt;0), L184:BQ184)</f>
        <v/>
      </c>
      <c r="BV184" s="33">
        <f>SUMPRODUCT(($E$5:$BJ$5="CO3")*(ISNUMBER(L184:BQ184))*(L184:BQ184&gt;0), L184:BQ184)</f>
        <v/>
      </c>
      <c r="BW184" s="33">
        <f>SUMPRODUCT(($E$5:$BJ$5="CO4")*(ISNUMBER(L184:BQ184))*(L184:BQ184&gt;0), L184:BQ184)</f>
        <v/>
      </c>
      <c r="BX184" s="33">
        <f>SUMPRODUCT(($E$5:$BJ$5="CO5")*(ISNUMBER(L184:BQ184))*(L184:BQ184&gt;0), L184:BQ184)</f>
        <v/>
      </c>
      <c r="BY184" s="33">
        <f>SUMPRODUCT(($E$5:$BJ$5="CO6")*(ISNUMBER(L184:BQ184))*(L184:BQ184&gt;0), L184:BQ184)</f>
        <v/>
      </c>
      <c r="BZ184" s="33">
        <f>SUM(BT184:BY184)</f>
        <v/>
      </c>
      <c r="CB184" s="38">
        <f>BT184/$BM$7*100</f>
        <v/>
      </c>
      <c r="CC184" s="38">
        <f>BU184/$BN$7*100</f>
        <v/>
      </c>
      <c r="CD184" s="38">
        <f>BV184/$BO$7*100</f>
        <v/>
      </c>
      <c r="CE184" s="38">
        <f>BW184/$BP$7*100</f>
        <v/>
      </c>
      <c r="CF184" s="38">
        <f>BX184/$BQ$7*100</f>
        <v/>
      </c>
      <c r="CG184" s="38">
        <f>BY184/$BR$7*100</f>
        <v/>
      </c>
    </row>
    <row r="185" ht="15.5" customHeight="1">
      <c r="A185" s="43" t="n">
        <v>178</v>
      </c>
      <c r="B185" s="43" t="n"/>
      <c r="C185" s="43" t="n"/>
      <c r="D185" s="7" t="n"/>
      <c r="L185" s="7" t="n"/>
      <c r="N185" s="7" t="n"/>
      <c r="O185" s="7" t="n"/>
      <c r="P185" s="7" t="n"/>
      <c r="Y185" s="24" t="n"/>
      <c r="AH185" s="7" t="n"/>
      <c r="AJ185" s="7" t="n"/>
      <c r="AK185" s="7" t="n"/>
      <c r="AL185" s="7" t="n"/>
      <c r="AU185" s="31">
        <f>SUM(AA185:AL185)+(IF(AM185&lt;&gt;"",AM185,AN185))+(IF(AO185&lt;&gt;"",AO185,AP185))+(IF(AQ185&lt;&gt;"",AQ185,AR185))+(IF(AS185&lt;&gt;"",AS185,AT185))</f>
        <v/>
      </c>
      <c r="BT185" s="36">
        <f>SUMPRODUCT(($AW$5:$BQ$5="CO1")*AW185:BQ185)</f>
        <v/>
      </c>
      <c r="BU185" s="33">
        <f>SUMPRODUCT(($E$5:$BJ$5="CO2")*(ISNUMBER(L185:BQ185))*(L185:BQ185&gt;0), L185:BQ185)</f>
        <v/>
      </c>
      <c r="BV185" s="33">
        <f>SUMPRODUCT(($E$5:$BJ$5="CO3")*(ISNUMBER(L185:BQ185))*(L185:BQ185&gt;0), L185:BQ185)</f>
        <v/>
      </c>
      <c r="BW185" s="33">
        <f>SUMPRODUCT(($E$5:$BJ$5="CO4")*(ISNUMBER(L185:BQ185))*(L185:BQ185&gt;0), L185:BQ185)</f>
        <v/>
      </c>
      <c r="BX185" s="33">
        <f>SUMPRODUCT(($E$5:$BJ$5="CO5")*(ISNUMBER(L185:BQ185))*(L185:BQ185&gt;0), L185:BQ185)</f>
        <v/>
      </c>
      <c r="BY185" s="33">
        <f>SUMPRODUCT(($E$5:$BJ$5="CO6")*(ISNUMBER(L185:BQ185))*(L185:BQ185&gt;0), L185:BQ185)</f>
        <v/>
      </c>
      <c r="BZ185" s="33">
        <f>SUM(BT185:BY185)</f>
        <v/>
      </c>
      <c r="CB185" s="38">
        <f>BT185/$BM$7*100</f>
        <v/>
      </c>
      <c r="CC185" s="38">
        <f>BU185/$BN$7*100</f>
        <v/>
      </c>
      <c r="CD185" s="38">
        <f>BV185/$BO$7*100</f>
        <v/>
      </c>
      <c r="CE185" s="38">
        <f>BW185/$BP$7*100</f>
        <v/>
      </c>
      <c r="CF185" s="38">
        <f>BX185/$BQ$7*100</f>
        <v/>
      </c>
      <c r="CG185" s="38">
        <f>BY185/$BR$7*100</f>
        <v/>
      </c>
    </row>
    <row r="186" ht="15.5" customHeight="1">
      <c r="A186" s="43" t="n">
        <v>179</v>
      </c>
      <c r="B186" s="43" t="n"/>
      <c r="C186" s="43" t="n"/>
      <c r="D186" s="7" t="n"/>
      <c r="L186" s="7" t="n"/>
      <c r="N186" s="7" t="n"/>
      <c r="O186" s="7" t="n"/>
      <c r="P186" s="7" t="n"/>
      <c r="Y186" s="24" t="n"/>
      <c r="AH186" s="7" t="n"/>
      <c r="AJ186" s="7" t="n"/>
      <c r="AK186" s="7" t="n"/>
      <c r="AL186" s="7" t="n"/>
      <c r="AU186" s="31">
        <f>SUM(AA186:AL186)+(IF(AM186&lt;&gt;"",AM186,AN186))+(IF(AO186&lt;&gt;"",AO186,AP186))+(IF(AQ186&lt;&gt;"",AQ186,AR186))+(IF(AS186&lt;&gt;"",AS186,AT186))</f>
        <v/>
      </c>
      <c r="BT186" s="36">
        <f>SUMPRODUCT(($AW$5:$BQ$5="CO1")*AW186:BQ186)</f>
        <v/>
      </c>
      <c r="BU186" s="33">
        <f>SUMPRODUCT(($E$5:$BJ$5="CO2")*(ISNUMBER(L186:BQ186))*(L186:BQ186&gt;0), L186:BQ186)</f>
        <v/>
      </c>
      <c r="BV186" s="33">
        <f>SUMPRODUCT(($E$5:$BJ$5="CO3")*(ISNUMBER(L186:BQ186))*(L186:BQ186&gt;0), L186:BQ186)</f>
        <v/>
      </c>
      <c r="BW186" s="33">
        <f>SUMPRODUCT(($E$5:$BJ$5="CO4")*(ISNUMBER(L186:BQ186))*(L186:BQ186&gt;0), L186:BQ186)</f>
        <v/>
      </c>
      <c r="BX186" s="33">
        <f>SUMPRODUCT(($E$5:$BJ$5="CO5")*(ISNUMBER(L186:BQ186))*(L186:BQ186&gt;0), L186:BQ186)</f>
        <v/>
      </c>
      <c r="BY186" s="33">
        <f>SUMPRODUCT(($E$5:$BJ$5="CO6")*(ISNUMBER(L186:BQ186))*(L186:BQ186&gt;0), L186:BQ186)</f>
        <v/>
      </c>
      <c r="BZ186" s="33">
        <f>SUM(BT186:BY186)</f>
        <v/>
      </c>
      <c r="CB186" s="38">
        <f>BT186/$BM$7*100</f>
        <v/>
      </c>
      <c r="CC186" s="38">
        <f>BU186/$BN$7*100</f>
        <v/>
      </c>
      <c r="CD186" s="38">
        <f>BV186/$BO$7*100</f>
        <v/>
      </c>
      <c r="CE186" s="38">
        <f>BW186/$BP$7*100</f>
        <v/>
      </c>
      <c r="CF186" s="38">
        <f>BX186/$BQ$7*100</f>
        <v/>
      </c>
      <c r="CG186" s="38">
        <f>BY186/$BR$7*100</f>
        <v/>
      </c>
    </row>
    <row r="187" ht="15.5" customHeight="1">
      <c r="A187" s="43" t="n">
        <v>180</v>
      </c>
      <c r="B187" s="43" t="n"/>
      <c r="C187" s="43" t="n"/>
      <c r="D187" s="7" t="n"/>
      <c r="L187" s="7" t="n"/>
      <c r="N187" s="7" t="n"/>
      <c r="O187" s="7" t="n"/>
      <c r="P187" s="7" t="n"/>
      <c r="Y187" s="24" t="n"/>
      <c r="AH187" s="7" t="n"/>
      <c r="AJ187" s="7" t="n"/>
      <c r="AK187" s="7" t="n"/>
      <c r="AL187" s="7" t="n"/>
      <c r="AU187" s="31">
        <f>SUM(AA187:AL187)+(IF(AM187&lt;&gt;"",AM187,AN187))+(IF(AO187&lt;&gt;"",AO187,AP187))+(IF(AQ187&lt;&gt;"",AQ187,AR187))+(IF(AS187&lt;&gt;"",AS187,AT187))</f>
        <v/>
      </c>
      <c r="BT187" s="36">
        <f>SUMPRODUCT(($AW$5:$BQ$5="CO1")*AW187:BQ187)</f>
        <v/>
      </c>
      <c r="BU187" s="33">
        <f>SUMPRODUCT(($E$5:$BJ$5="CO2")*(ISNUMBER(L187:BQ187))*(L187:BQ187&gt;0), L187:BQ187)</f>
        <v/>
      </c>
      <c r="BV187" s="33">
        <f>SUMPRODUCT(($E$5:$BJ$5="CO3")*(ISNUMBER(L187:BQ187))*(L187:BQ187&gt;0), L187:BQ187)</f>
        <v/>
      </c>
      <c r="BW187" s="33">
        <f>SUMPRODUCT(($E$5:$BJ$5="CO4")*(ISNUMBER(L187:BQ187))*(L187:BQ187&gt;0), L187:BQ187)</f>
        <v/>
      </c>
      <c r="BX187" s="33">
        <f>SUMPRODUCT(($E$5:$BJ$5="CO5")*(ISNUMBER(L187:BQ187))*(L187:BQ187&gt;0), L187:BQ187)</f>
        <v/>
      </c>
      <c r="BY187" s="33">
        <f>SUMPRODUCT(($E$5:$BJ$5="CO6")*(ISNUMBER(L187:BQ187))*(L187:BQ187&gt;0), L187:BQ187)</f>
        <v/>
      </c>
      <c r="BZ187" s="33">
        <f>SUM(BT187:BY187)</f>
        <v/>
      </c>
      <c r="CB187" s="38">
        <f>BT187/$BM$7*100</f>
        <v/>
      </c>
      <c r="CC187" s="38">
        <f>BU187/$BN$7*100</f>
        <v/>
      </c>
      <c r="CD187" s="38">
        <f>BV187/$BO$7*100</f>
        <v/>
      </c>
      <c r="CE187" s="38">
        <f>BW187/$BP$7*100</f>
        <v/>
      </c>
      <c r="CF187" s="38">
        <f>BX187/$BQ$7*100</f>
        <v/>
      </c>
      <c r="CG187" s="38">
        <f>BY187/$BR$7*100</f>
        <v/>
      </c>
    </row>
    <row r="188" ht="15.5" customHeight="1">
      <c r="D188" s="7" t="n"/>
      <c r="L188" s="7" t="n"/>
      <c r="N188" s="7" t="n"/>
      <c r="O188" s="7" t="n"/>
      <c r="P188" s="7" t="n"/>
      <c r="Y188" s="24" t="n"/>
      <c r="AH188" s="7" t="n"/>
      <c r="AJ188" s="7" t="n"/>
      <c r="AK188" s="7" t="n"/>
      <c r="AL188" s="7" t="n"/>
      <c r="AU188" s="31">
        <f>SUM(AA188:AL188)+(IF(AM188&lt;&gt;"",AM188,AN188))+(IF(AO188&lt;&gt;"",AO188,AP188))+(IF(AQ188&lt;&gt;"",AQ188,AR188))+(IF(AS188&lt;&gt;"",AS188,AT188))</f>
        <v/>
      </c>
      <c r="BT188" s="36">
        <f>SUMPRODUCT(($AW$5:$BQ$5="CO1")*AW188:BQ188)</f>
        <v/>
      </c>
      <c r="BU188" s="33">
        <f>SUMPRODUCT(($E$5:$BJ$5="CO2")*(ISNUMBER(L188:BQ188))*(L188:BQ188&gt;0), L188:BQ188)</f>
        <v/>
      </c>
      <c r="BV188" s="33">
        <f>SUMPRODUCT(($E$5:$BJ$5="CO3")*(ISNUMBER(L188:BQ188))*(L188:BQ188&gt;0), L188:BQ188)</f>
        <v/>
      </c>
      <c r="BW188" s="33">
        <f>SUMPRODUCT(($E$5:$BJ$5="CO4")*(ISNUMBER(L188:BQ188))*(L188:BQ188&gt;0), L188:BQ188)</f>
        <v/>
      </c>
      <c r="BX188" s="33">
        <f>SUMPRODUCT(($E$5:$BJ$5="CO5")*(ISNUMBER(L188:BQ188))*(L188:BQ188&gt;0), L188:BQ188)</f>
        <v/>
      </c>
      <c r="BY188" s="33">
        <f>SUMPRODUCT(($E$5:$BJ$5="CO6")*(ISNUMBER(L188:BQ188))*(L188:BQ188&gt;0), L188:BQ188)</f>
        <v/>
      </c>
      <c r="BZ188" s="33">
        <f>SUM(BT188:BY188)</f>
        <v/>
      </c>
      <c r="CB188" s="38">
        <f>BT188/$BM$7*100</f>
        <v/>
      </c>
      <c r="CC188" s="38">
        <f>BU188/$BN$7*100</f>
        <v/>
      </c>
      <c r="CD188" s="38">
        <f>BV188/$BO$7*100</f>
        <v/>
      </c>
      <c r="CE188" s="38">
        <f>BW188/$BP$7*100</f>
        <v/>
      </c>
      <c r="CF188" s="38">
        <f>BX188/$BQ$7*100</f>
        <v/>
      </c>
      <c r="CG188" s="38">
        <f>BY188/$BR$7*100</f>
        <v/>
      </c>
    </row>
    <row r="189" ht="15.5" customHeight="1">
      <c r="D189" s="7" t="n"/>
      <c r="L189" s="7" t="n"/>
      <c r="N189" s="7" t="n"/>
      <c r="O189" s="7" t="n"/>
      <c r="P189" s="7" t="n"/>
      <c r="Y189" s="24" t="n"/>
      <c r="AH189" s="7" t="n"/>
      <c r="AJ189" s="7" t="n"/>
      <c r="AK189" s="7" t="n"/>
      <c r="AL189" s="7" t="n"/>
      <c r="AU189" s="31">
        <f>SUM(AA189:AL189)+(IF(AM189&lt;&gt;"",AM189,AN189))+(IF(AO189&lt;&gt;"",AO189,AP189))+(IF(AQ189&lt;&gt;"",AQ189,AR189))+(IF(AS189&lt;&gt;"",AS189,AT189))</f>
        <v/>
      </c>
      <c r="BT189" s="36">
        <f>SUMPRODUCT(($AW$5:$BQ$5="CO1")*AW189:BQ189)</f>
        <v/>
      </c>
      <c r="BU189" s="33">
        <f>SUMPRODUCT(($E$5:$BJ$5="CO2")*(ISNUMBER(L189:BQ189))*(L189:BQ189&gt;0), L189:BQ189)</f>
        <v/>
      </c>
      <c r="BV189" s="33">
        <f>SUMPRODUCT(($E$5:$BJ$5="CO3")*(ISNUMBER(L189:BQ189))*(L189:BQ189&gt;0), L189:BQ189)</f>
        <v/>
      </c>
      <c r="BW189" s="33">
        <f>SUMPRODUCT(($E$5:$BJ$5="CO4")*(ISNUMBER(L189:BQ189))*(L189:BQ189&gt;0), L189:BQ189)</f>
        <v/>
      </c>
      <c r="BX189" s="33">
        <f>SUMPRODUCT(($E$5:$BJ$5="CO5")*(ISNUMBER(L189:BQ189))*(L189:BQ189&gt;0), L189:BQ189)</f>
        <v/>
      </c>
      <c r="BY189" s="33">
        <f>SUMPRODUCT(($E$5:$BJ$5="CO6")*(ISNUMBER(L189:BQ189))*(L189:BQ189&gt;0), L189:BQ189)</f>
        <v/>
      </c>
      <c r="BZ189" s="33">
        <f>SUM(BT189:BY189)</f>
        <v/>
      </c>
      <c r="CB189" s="38">
        <f>BT189/$BM$7*100</f>
        <v/>
      </c>
      <c r="CC189" s="38">
        <f>BU189/$BN$7*100</f>
        <v/>
      </c>
      <c r="CD189" s="38">
        <f>BV189/$BO$7*100</f>
        <v/>
      </c>
      <c r="CE189" s="38">
        <f>BW189/$BP$7*100</f>
        <v/>
      </c>
      <c r="CF189" s="38">
        <f>BX189/$BQ$7*100</f>
        <v/>
      </c>
      <c r="CG189" s="38">
        <f>BY189/$BR$7*100</f>
        <v/>
      </c>
    </row>
    <row r="190" ht="15.5" customHeight="1">
      <c r="D190" s="7" t="n"/>
      <c r="L190" s="7" t="n"/>
      <c r="N190" s="7" t="n"/>
      <c r="O190" s="7" t="n"/>
      <c r="P190" s="7" t="n"/>
      <c r="Y190" s="24" t="n"/>
      <c r="AH190" s="7" t="n"/>
      <c r="AJ190" s="7" t="n"/>
      <c r="AK190" s="7" t="n"/>
      <c r="AL190" s="7" t="n"/>
      <c r="AU190" s="31">
        <f>SUM(AA190:AL190)+(IF(AM190&lt;&gt;"",AM190,AN190))+(IF(AO190&lt;&gt;"",AO190,AP190))+(IF(AQ190&lt;&gt;"",AQ190,AR190))+(IF(AS190&lt;&gt;"",AS190,AT190))</f>
        <v/>
      </c>
      <c r="BT190" s="36">
        <f>SUMPRODUCT(($AW$5:$BQ$5="CO1")*AW190:BQ190)</f>
        <v/>
      </c>
      <c r="BU190" s="33">
        <f>SUMPRODUCT(($E$5:$BJ$5="CO2")*(ISNUMBER(L190:BQ190))*(L190:BQ190&gt;0), L190:BQ190)</f>
        <v/>
      </c>
      <c r="BV190" s="33">
        <f>SUMPRODUCT(($E$5:$BJ$5="CO3")*(ISNUMBER(L190:BQ190))*(L190:BQ190&gt;0), L190:BQ190)</f>
        <v/>
      </c>
      <c r="BW190" s="33">
        <f>SUMPRODUCT(($E$5:$BJ$5="CO4")*(ISNUMBER(L190:BQ190))*(L190:BQ190&gt;0), L190:BQ190)</f>
        <v/>
      </c>
      <c r="BX190" s="33">
        <f>SUMPRODUCT(($E$5:$BJ$5="CO5")*(ISNUMBER(L190:BQ190))*(L190:BQ190&gt;0), L190:BQ190)</f>
        <v/>
      </c>
      <c r="BY190" s="33">
        <f>SUMPRODUCT(($E$5:$BJ$5="CO6")*(ISNUMBER(L190:BQ190))*(L190:BQ190&gt;0), L190:BQ190)</f>
        <v/>
      </c>
      <c r="BZ190" s="33">
        <f>SUM(BT190:BY190)</f>
        <v/>
      </c>
      <c r="CB190" s="38">
        <f>BT190/$BM$7*100</f>
        <v/>
      </c>
      <c r="CC190" s="38">
        <f>BU190/$BN$7*100</f>
        <v/>
      </c>
      <c r="CD190" s="38">
        <f>BV190/$BO$7*100</f>
        <v/>
      </c>
      <c r="CE190" s="38">
        <f>BW190/$BP$7*100</f>
        <v/>
      </c>
      <c r="CF190" s="38">
        <f>BX190/$BQ$7*100</f>
        <v/>
      </c>
      <c r="CG190" s="38">
        <f>BY190/$BR$7*100</f>
        <v/>
      </c>
    </row>
    <row r="191" ht="15.5" customHeight="1">
      <c r="D191" s="7" t="n"/>
      <c r="L191" s="7" t="n"/>
      <c r="N191" s="7" t="n"/>
      <c r="O191" s="7" t="n"/>
      <c r="P191" s="7" t="n"/>
      <c r="Y191" s="24" t="n"/>
      <c r="AH191" s="7" t="n"/>
      <c r="AJ191" s="7" t="n"/>
      <c r="AK191" s="7" t="n"/>
      <c r="AL191" s="7" t="n"/>
      <c r="AU191" s="31">
        <f>SUM(AA191:AL191)+(IF(AM191&lt;&gt;"",AM191,AN191))+(IF(AO191&lt;&gt;"",AO191,AP191))+(IF(AQ191&lt;&gt;"",AQ191,AR191))+(IF(AS191&lt;&gt;"",AS191,AT191))</f>
        <v/>
      </c>
      <c r="BT191" s="36">
        <f>SUMPRODUCT(($AW$5:$BQ$5="CO1")*AW191:BQ191)</f>
        <v/>
      </c>
      <c r="BU191" s="33">
        <f>SUMPRODUCT(($E$5:$BJ$5="CO2")*(ISNUMBER(L191:BQ191))*(L191:BQ191&gt;0), L191:BQ191)</f>
        <v/>
      </c>
      <c r="BV191" s="33">
        <f>SUMPRODUCT(($E$5:$BJ$5="CO3")*(ISNUMBER(L191:BQ191))*(L191:BQ191&gt;0), L191:BQ191)</f>
        <v/>
      </c>
      <c r="BW191" s="33">
        <f>SUMPRODUCT(($E$5:$BJ$5="CO4")*(ISNUMBER(L191:BQ191))*(L191:BQ191&gt;0), L191:BQ191)</f>
        <v/>
      </c>
      <c r="BX191" s="33">
        <f>SUMPRODUCT(($E$5:$BJ$5="CO5")*(ISNUMBER(L191:BQ191))*(L191:BQ191&gt;0), L191:BQ191)</f>
        <v/>
      </c>
      <c r="BY191" s="33">
        <f>SUMPRODUCT(($E$5:$BJ$5="CO6")*(ISNUMBER(L191:BQ191))*(L191:BQ191&gt;0), L191:BQ191)</f>
        <v/>
      </c>
      <c r="BZ191" s="33">
        <f>SUM(BT191:BY191)</f>
        <v/>
      </c>
      <c r="CB191" s="38">
        <f>BT191/$BM$7*100</f>
        <v/>
      </c>
      <c r="CC191" s="38">
        <f>BU191/$BN$7*100</f>
        <v/>
      </c>
      <c r="CD191" s="38">
        <f>BV191/$BO$7*100</f>
        <v/>
      </c>
      <c r="CE191" s="38">
        <f>BW191/$BP$7*100</f>
        <v/>
      </c>
      <c r="CF191" s="38">
        <f>BX191/$BQ$7*100</f>
        <v/>
      </c>
      <c r="CG191" s="38">
        <f>BY191/$BR$7*100</f>
        <v/>
      </c>
    </row>
    <row r="192" ht="15.5" customHeight="1">
      <c r="D192" s="7" t="n"/>
      <c r="L192" s="7" t="n"/>
      <c r="N192" s="7" t="n"/>
      <c r="O192" s="7" t="n"/>
      <c r="P192" s="7" t="n"/>
      <c r="Y192" s="24" t="n"/>
      <c r="AH192" s="7" t="n"/>
      <c r="AJ192" s="7" t="n"/>
      <c r="AK192" s="7" t="n"/>
      <c r="AL192" s="7" t="n"/>
      <c r="AU192" s="31">
        <f>SUM(AA192:AL192)+(IF(AM192&lt;&gt;"",AM192,AN192))+(IF(AO192&lt;&gt;"",AO192,AP192))+(IF(AQ192&lt;&gt;"",AQ192,AR192))+(IF(AS192&lt;&gt;"",AS192,AT192))</f>
        <v/>
      </c>
      <c r="BT192" s="36">
        <f>SUMPRODUCT(($AW$5:$BQ$5="CO1")*AW192:BQ192)</f>
        <v/>
      </c>
      <c r="BU192" s="33">
        <f>SUMPRODUCT(($E$5:$BJ$5="CO2")*(ISNUMBER(L192:BQ192))*(L192:BQ192&gt;0), L192:BQ192)</f>
        <v/>
      </c>
      <c r="BV192" s="33">
        <f>SUMPRODUCT(($E$5:$BJ$5="CO3")*(ISNUMBER(L192:BQ192))*(L192:BQ192&gt;0), L192:BQ192)</f>
        <v/>
      </c>
      <c r="BW192" s="33">
        <f>SUMPRODUCT(($E$5:$BJ$5="CO4")*(ISNUMBER(L192:BQ192))*(L192:BQ192&gt;0), L192:BQ192)</f>
        <v/>
      </c>
      <c r="BX192" s="33">
        <f>SUMPRODUCT(($E$5:$BJ$5="CO5")*(ISNUMBER(L192:BQ192))*(L192:BQ192&gt;0), L192:BQ192)</f>
        <v/>
      </c>
      <c r="BY192" s="33">
        <f>SUMPRODUCT(($E$5:$BJ$5="CO6")*(ISNUMBER(L192:BQ192))*(L192:BQ192&gt;0), L192:BQ192)</f>
        <v/>
      </c>
      <c r="BZ192" s="33">
        <f>SUM(BT192:BY192)</f>
        <v/>
      </c>
      <c r="CB192" s="38">
        <f>BT192/$BM$7*100</f>
        <v/>
      </c>
      <c r="CC192" s="38">
        <f>BU192/$BN$7*100</f>
        <v/>
      </c>
      <c r="CD192" s="38">
        <f>BV192/$BO$7*100</f>
        <v/>
      </c>
      <c r="CE192" s="38">
        <f>BW192/$BP$7*100</f>
        <v/>
      </c>
      <c r="CF192" s="38">
        <f>BX192/$BQ$7*100</f>
        <v/>
      </c>
      <c r="CG192" s="38">
        <f>BY192/$BR$7*100</f>
        <v/>
      </c>
    </row>
    <row r="193" ht="15.5" customHeight="1">
      <c r="D193" s="7" t="n"/>
      <c r="L193" s="7" t="n"/>
      <c r="N193" s="7" t="n"/>
      <c r="O193" s="7" t="n"/>
      <c r="P193" s="7" t="n"/>
      <c r="Y193" s="24" t="n"/>
      <c r="AH193" s="7" t="n"/>
      <c r="AJ193" s="7" t="n"/>
      <c r="AK193" s="7" t="n"/>
      <c r="AL193" s="7" t="n"/>
      <c r="AU193" s="24" t="n"/>
      <c r="BT193" s="36">
        <f>SUMPRODUCT(($AW$5:$BQ$5="CO1")*AW193:BQ193)</f>
        <v/>
      </c>
      <c r="BU193" s="33">
        <f>SUMPRODUCT(($E$5:$BJ$5="CO2")*(ISNUMBER(L193:BQ193))*(L193:BQ193&gt;0), L193:BQ193)</f>
        <v/>
      </c>
      <c r="BV193" s="33">
        <f>SUMPRODUCT(($E$5:$BJ$5="CO3")*(ISNUMBER(L193:BQ193))*(L193:BQ193&gt;0), L193:BQ193)</f>
        <v/>
      </c>
      <c r="BW193" s="33">
        <f>SUMPRODUCT(($E$5:$BJ$5="CO4")*(ISNUMBER(L193:BQ193))*(L193:BQ193&gt;0), L193:BQ193)</f>
        <v/>
      </c>
      <c r="BX193" s="33">
        <f>SUMPRODUCT(($E$5:$BJ$5="CO5")*(ISNUMBER(L193:BQ193))*(L193:BQ193&gt;0), L193:BQ193)</f>
        <v/>
      </c>
      <c r="BY193" s="33">
        <f>SUMPRODUCT(($E$5:$BJ$5="CO6")*(ISNUMBER(L193:BQ193))*(L193:BQ193&gt;0), L193:BQ193)</f>
        <v/>
      </c>
      <c r="BZ193" s="33">
        <f>SUM(BT193:BY193)</f>
        <v/>
      </c>
      <c r="CB193" s="38">
        <f>BT193/$BM$7*100</f>
        <v/>
      </c>
      <c r="CC193" s="38">
        <f>BU193/$BN$7*100</f>
        <v/>
      </c>
      <c r="CD193" s="38">
        <f>BV193/$BO$7*100</f>
        <v/>
      </c>
      <c r="CE193" s="38">
        <f>BW193/$BP$7*100</f>
        <v/>
      </c>
      <c r="CF193" s="38">
        <f>BX193/$BQ$7*100</f>
        <v/>
      </c>
      <c r="CG193" s="38">
        <f>BY193/$BR$7*100</f>
        <v/>
      </c>
    </row>
    <row r="194" ht="15.5" customHeight="1">
      <c r="D194" s="7" t="n"/>
      <c r="L194" s="7" t="n"/>
      <c r="N194" s="7" t="n"/>
      <c r="O194" s="7" t="n"/>
      <c r="P194" s="7" t="n"/>
      <c r="Y194" s="24" t="n"/>
      <c r="AH194" s="7" t="n"/>
      <c r="AJ194" s="7" t="n"/>
      <c r="AK194" s="7" t="n"/>
      <c r="AL194" s="7" t="n"/>
      <c r="AU194" s="24" t="n"/>
      <c r="BT194" s="36">
        <f>SUMPRODUCT(($AW$5:$BQ$5="CO1")*AW194:BQ194)</f>
        <v/>
      </c>
      <c r="BU194" s="33">
        <f>SUMPRODUCT(($E$5:$BJ$5="CO2")*(ISNUMBER(L194:BQ194))*(L194:BQ194&gt;0), L194:BQ194)</f>
        <v/>
      </c>
      <c r="BV194" s="33">
        <f>SUMPRODUCT(($E$5:$BJ$5="CO3")*(ISNUMBER(L194:BQ194))*(L194:BQ194&gt;0), L194:BQ194)</f>
        <v/>
      </c>
      <c r="BW194" s="33">
        <f>SUMPRODUCT(($E$5:$BJ$5="CO4")*(ISNUMBER(L194:BQ194))*(L194:BQ194&gt;0), L194:BQ194)</f>
        <v/>
      </c>
      <c r="BX194" s="33">
        <f>SUMPRODUCT(($E$5:$BJ$5="CO5")*(ISNUMBER(L194:BQ194))*(L194:BQ194&gt;0), L194:BQ194)</f>
        <v/>
      </c>
      <c r="BY194" s="33">
        <f>SUMPRODUCT(($E$5:$BJ$5="CO6")*(ISNUMBER(L194:BQ194))*(L194:BQ194&gt;0), L194:BQ194)</f>
        <v/>
      </c>
      <c r="BZ194" s="33">
        <f>SUM(BT194:BY194)</f>
        <v/>
      </c>
      <c r="CB194" s="38">
        <f>BT194/$BM$7*100</f>
        <v/>
      </c>
      <c r="CC194" s="38">
        <f>BU194/$BN$7*100</f>
        <v/>
      </c>
      <c r="CD194" s="38">
        <f>BV194/$BO$7*100</f>
        <v/>
      </c>
      <c r="CE194" s="38">
        <f>BW194/$BP$7*100</f>
        <v/>
      </c>
      <c r="CF194" s="38">
        <f>BX194/$BQ$7*100</f>
        <v/>
      </c>
      <c r="CG194" s="38">
        <f>BY194/$BR$7*100</f>
        <v/>
      </c>
    </row>
    <row r="195" ht="15.5" customHeight="1">
      <c r="D195" s="7" t="n"/>
      <c r="L195" s="7" t="n"/>
      <c r="N195" s="7" t="n"/>
      <c r="O195" s="7" t="n"/>
      <c r="P195" s="7" t="n"/>
      <c r="Y195" s="24" t="n"/>
      <c r="AH195" s="7" t="n"/>
      <c r="AJ195" s="7" t="n"/>
      <c r="AK195" s="7" t="n"/>
      <c r="AL195" s="7" t="n"/>
      <c r="AU195" s="24" t="n"/>
      <c r="BT195" s="36">
        <f>SUMPRODUCT(($AW$5:$BQ$5="CO1")*AW195:BQ195)</f>
        <v/>
      </c>
      <c r="BU195" s="33">
        <f>SUMPRODUCT(($E$5:$BJ$5="CO2")*(ISNUMBER(L195:BQ195))*(L195:BQ195&gt;0), L195:BQ195)</f>
        <v/>
      </c>
      <c r="BV195" s="33">
        <f>SUMPRODUCT(($E$5:$BJ$5="CO3")*(ISNUMBER(L195:BQ195))*(L195:BQ195&gt;0), L195:BQ195)</f>
        <v/>
      </c>
      <c r="BW195" s="33">
        <f>SUMPRODUCT(($E$5:$BJ$5="CO4")*(ISNUMBER(L195:BQ195))*(L195:BQ195&gt;0), L195:BQ195)</f>
        <v/>
      </c>
      <c r="BX195" s="33">
        <f>SUMPRODUCT(($E$5:$BJ$5="CO5")*(ISNUMBER(L195:BQ195))*(L195:BQ195&gt;0), L195:BQ195)</f>
        <v/>
      </c>
      <c r="BY195" s="33">
        <f>SUMPRODUCT(($E$5:$BJ$5="CO6")*(ISNUMBER(L195:BQ195))*(L195:BQ195&gt;0), L195:BQ195)</f>
        <v/>
      </c>
      <c r="BZ195" s="33">
        <f>SUM(BT195:BY195)</f>
        <v/>
      </c>
      <c r="CB195" s="38">
        <f>BT195/$BM$7*100</f>
        <v/>
      </c>
      <c r="CC195" s="38">
        <f>BU195/$BN$7*100</f>
        <v/>
      </c>
      <c r="CD195" s="38">
        <f>BV195/$BO$7*100</f>
        <v/>
      </c>
      <c r="CE195" s="38">
        <f>BW195/$BP$7*100</f>
        <v/>
      </c>
      <c r="CF195" s="38">
        <f>BX195/$BQ$7*100</f>
        <v/>
      </c>
      <c r="CG195" s="38">
        <f>BY195/$BR$7*100</f>
        <v/>
      </c>
    </row>
    <row r="196">
      <c r="D196" s="7" t="n"/>
      <c r="L196" s="7" t="n"/>
      <c r="N196" s="7" t="n"/>
      <c r="O196" s="7" t="n"/>
      <c r="P196" s="7" t="n"/>
      <c r="Y196" s="24" t="n"/>
      <c r="AH196" s="7" t="n"/>
      <c r="AJ196" s="7" t="n"/>
      <c r="AK196" s="7" t="n"/>
      <c r="AL196" s="7" t="n"/>
      <c r="AU196" s="24" t="n"/>
      <c r="BT196" s="33">
        <f>SUMPRODUCT(($E$5:$BJ$5="CO1")*(ISNUMBER(L196:BQ196))*(L196:BQ196&gt;0), L196:BQ196)</f>
        <v/>
      </c>
      <c r="BU196" s="33">
        <f>SUMPRODUCT(($E$5:$BJ$5="CO2")*(ISNUMBER(L196:BQ196))*(L196:BQ196&gt;0), L196:BQ196)</f>
        <v/>
      </c>
      <c r="BV196" s="33">
        <f>SUMPRODUCT(($E$5:$BJ$5="CO3")*(ISNUMBER(L196:BQ196))*(L196:BQ196&gt;0), L196:BQ196)</f>
        <v/>
      </c>
      <c r="BW196" s="33">
        <f>SUMPRODUCT(($E$5:$BJ$5="CO4")*(ISNUMBER(L196:BQ196))*(L196:BQ196&gt;0), L196:BQ196)</f>
        <v/>
      </c>
      <c r="BX196" s="33">
        <f>SUMPRODUCT(($E$5:$BJ$5="CO5")*(ISNUMBER(L196:BQ196))*(L196:BQ196&gt;0), L196:BQ196)</f>
        <v/>
      </c>
      <c r="BY196" s="33">
        <f>SUMPRODUCT(($E$5:$BJ$5="CO6")*(ISNUMBER(L196:BQ196))*(L196:BQ196&gt;0), L196:BQ196)</f>
        <v/>
      </c>
      <c r="BZ196" s="33">
        <f>SUM(BT196:BY196)</f>
        <v/>
      </c>
      <c r="CB196" s="38">
        <f>BT196/$BM$7*100</f>
        <v/>
      </c>
      <c r="CC196" s="38">
        <f>BU196/$BN$7*100</f>
        <v/>
      </c>
      <c r="CD196" s="38">
        <f>BV196/$BO$7*100</f>
        <v/>
      </c>
      <c r="CE196" s="38">
        <f>BW196/$BP$7*100</f>
        <v/>
      </c>
      <c r="CF196" s="38">
        <f>BX196/$BQ$7*100</f>
        <v/>
      </c>
      <c r="CG196" s="38">
        <f>BY196/$BR$7*100</f>
        <v/>
      </c>
    </row>
    <row r="197">
      <c r="D197" s="7" t="n"/>
      <c r="L197" s="7" t="n"/>
      <c r="N197" s="7" t="n"/>
      <c r="O197" s="7" t="n"/>
      <c r="P197" s="7" t="n"/>
      <c r="Y197" s="24" t="n"/>
      <c r="AH197" s="7" t="n"/>
      <c r="AJ197" s="7" t="n"/>
      <c r="AK197" s="7" t="n"/>
      <c r="AL197" s="7" t="n"/>
      <c r="AU197" s="24" t="n"/>
      <c r="BT197" s="33">
        <f>SUMPRODUCT(($E$5:$BJ$5="CO1")*(ISNUMBER(L197:BQ197))*(L197:BQ197&gt;0), L197:BQ197)</f>
        <v/>
      </c>
      <c r="BU197" s="33">
        <f>SUMPRODUCT(($E$5:$BJ$5="CO2")*(ISNUMBER(L197:BQ197))*(L197:BQ197&gt;0), L197:BQ197)</f>
        <v/>
      </c>
      <c r="BV197" s="33">
        <f>SUMPRODUCT(($E$5:$BJ$5="CO3")*(ISNUMBER(L197:BQ197))*(L197:BQ197&gt;0), L197:BQ197)</f>
        <v/>
      </c>
      <c r="BW197" s="33">
        <f>SUMPRODUCT(($E$5:$BJ$5="CO4")*(ISNUMBER(L197:BQ197))*(L197:BQ197&gt;0), L197:BQ197)</f>
        <v/>
      </c>
      <c r="BX197" s="33">
        <f>SUMPRODUCT(($E$5:$BJ$5="CO5")*(ISNUMBER(L197:BQ197))*(L197:BQ197&gt;0), L197:BQ197)</f>
        <v/>
      </c>
      <c r="BY197" s="33">
        <f>SUMPRODUCT(($E$5:$BJ$5="CO6")*(ISNUMBER(L197:BQ197))*(L197:BQ197&gt;0), L197:BQ197)</f>
        <v/>
      </c>
      <c r="BZ197" s="33">
        <f>SUM(BT197:BY197)</f>
        <v/>
      </c>
      <c r="CB197" s="38">
        <f>BT197/$BM$7*100</f>
        <v/>
      </c>
      <c r="CC197" s="38">
        <f>BU197/$BN$7*100</f>
        <v/>
      </c>
      <c r="CD197" s="38">
        <f>BV197/$BO$7*100</f>
        <v/>
      </c>
      <c r="CE197" s="38">
        <f>BW197/$BP$7*100</f>
        <v/>
      </c>
      <c r="CF197" s="38">
        <f>BX197/$BQ$7*100</f>
        <v/>
      </c>
      <c r="CG197" s="38">
        <f>BY197/$BR$7*100</f>
        <v/>
      </c>
    </row>
    <row r="198">
      <c r="D198" s="7" t="n"/>
      <c r="L198" s="7" t="n"/>
      <c r="N198" s="7" t="n"/>
      <c r="O198" s="7" t="n"/>
      <c r="P198" s="7" t="n"/>
      <c r="Y198" s="24" t="n"/>
      <c r="AH198" s="7" t="n"/>
      <c r="AJ198" s="7" t="n"/>
      <c r="AK198" s="7" t="n"/>
      <c r="AL198" s="7" t="n"/>
      <c r="AU198" s="24" t="n"/>
      <c r="BT198" s="33">
        <f>SUMPRODUCT(($E$5:$BJ$5="CO1")*(ISNUMBER(L198:BQ198))*(L198:BQ198&gt;0), L198:BQ198)</f>
        <v/>
      </c>
      <c r="BU198" s="33">
        <f>SUMPRODUCT(($E$5:$BJ$5="CO2")*(ISNUMBER(L198:BQ198))*(L198:BQ198&gt;0), L198:BQ198)</f>
        <v/>
      </c>
      <c r="BV198" s="33">
        <f>SUMPRODUCT(($E$5:$BJ$5="CO3")*(ISNUMBER(L198:BQ198))*(L198:BQ198&gt;0), L198:BQ198)</f>
        <v/>
      </c>
      <c r="BW198" s="33">
        <f>SUMPRODUCT(($E$5:$BJ$5="CO4")*(ISNUMBER(L198:BQ198))*(L198:BQ198&gt;0), L198:BQ198)</f>
        <v/>
      </c>
      <c r="BX198" s="33">
        <f>SUMPRODUCT(($E$5:$BJ$5="CO5")*(ISNUMBER(L198:BQ198))*(L198:BQ198&gt;0), L198:BQ198)</f>
        <v/>
      </c>
      <c r="BY198" s="33">
        <f>SUMPRODUCT(($E$5:$BJ$5="CO6")*(ISNUMBER(L198:BQ198))*(L198:BQ198&gt;0), L198:BQ198)</f>
        <v/>
      </c>
      <c r="BZ198" s="33">
        <f>SUM(BT198:BY198)</f>
        <v/>
      </c>
      <c r="CB198" s="38">
        <f>BT198/$BM$7*100</f>
        <v/>
      </c>
      <c r="CC198" s="38">
        <f>BU198/$BN$7*100</f>
        <v/>
      </c>
      <c r="CD198" s="38">
        <f>BV198/$BO$7*100</f>
        <v/>
      </c>
      <c r="CE198" s="38">
        <f>BW198/$BP$7*100</f>
        <v/>
      </c>
      <c r="CF198" s="38">
        <f>BX198/$BQ$7*100</f>
        <v/>
      </c>
      <c r="CG198" s="38">
        <f>BY198/$BR$7*100</f>
        <v/>
      </c>
    </row>
    <row r="199">
      <c r="D199" s="7" t="n"/>
      <c r="L199" s="7" t="n"/>
      <c r="N199" s="7" t="n"/>
      <c r="O199" s="7" t="n"/>
      <c r="P199" s="7" t="n"/>
      <c r="Y199" s="24" t="n"/>
      <c r="AH199" s="7" t="n"/>
      <c r="AJ199" s="7" t="n"/>
      <c r="AK199" s="7" t="n"/>
      <c r="AL199" s="7" t="n"/>
      <c r="AU199" s="24" t="n"/>
      <c r="BT199" s="33">
        <f>SUMPRODUCT(($E$5:$BJ$5="CO1")*(ISNUMBER(L199:BQ199))*(L199:BQ199&gt;0), L199:BQ199)</f>
        <v/>
      </c>
      <c r="BU199" s="33">
        <f>SUMPRODUCT(($E$5:$BJ$5="CO2")*(ISNUMBER(L199:BQ199))*(L199:BQ199&gt;0), L199:BQ199)</f>
        <v/>
      </c>
      <c r="BV199" s="33">
        <f>SUMPRODUCT(($E$5:$BJ$5="CO3")*(ISNUMBER(L199:BQ199))*(L199:BQ199&gt;0), L199:BQ199)</f>
        <v/>
      </c>
      <c r="BW199" s="33">
        <f>SUMPRODUCT(($E$5:$BJ$5="CO4")*(ISNUMBER(L199:BQ199))*(L199:BQ199&gt;0), L199:BQ199)</f>
        <v/>
      </c>
      <c r="BX199" s="33">
        <f>SUMPRODUCT(($E$5:$BJ$5="CO5")*(ISNUMBER(L199:BQ199))*(L199:BQ199&gt;0), L199:BQ199)</f>
        <v/>
      </c>
      <c r="BY199" s="33">
        <f>SUMPRODUCT(($E$5:$BJ$5="CO6")*(ISNUMBER(L199:BQ199))*(L199:BQ199&gt;0), L199:BQ199)</f>
        <v/>
      </c>
      <c r="BZ199" s="33">
        <f>SUM(BT199:BY199)</f>
        <v/>
      </c>
      <c r="CB199" s="38">
        <f>BT199/$BM$7*100</f>
        <v/>
      </c>
      <c r="CC199" s="38">
        <f>BU199/$BN$7*100</f>
        <v/>
      </c>
      <c r="CD199" s="38">
        <f>BV199/$BO$7*100</f>
        <v/>
      </c>
      <c r="CE199" s="38">
        <f>BW199/$BP$7*100</f>
        <v/>
      </c>
      <c r="CF199" s="38">
        <f>BX199/$BQ$7*100</f>
        <v/>
      </c>
      <c r="CG199" s="38">
        <f>BY199/$BR$7*100</f>
        <v/>
      </c>
    </row>
    <row r="200">
      <c r="D200" s="7" t="n"/>
      <c r="L200" s="7" t="n"/>
      <c r="N200" s="7" t="n"/>
      <c r="O200" s="7" t="n"/>
      <c r="P200" s="7" t="n"/>
      <c r="Y200" s="24" t="n"/>
      <c r="AH200" s="7" t="n"/>
      <c r="AJ200" s="7" t="n"/>
      <c r="AK200" s="7" t="n"/>
      <c r="AL200" s="7" t="n"/>
      <c r="AU200" s="24" t="n"/>
      <c r="BT200" s="33">
        <f>SUMPRODUCT(($E$5:$BJ$5="CO1")*(ISNUMBER(L200:BQ200))*(L200:BQ200&gt;0), L200:BQ200)</f>
        <v/>
      </c>
      <c r="BU200" s="33">
        <f>SUMPRODUCT(($E$5:$BJ$5="CO2")*(ISNUMBER(L200:BQ200))*(L200:BQ200&gt;0), L200:BQ200)</f>
        <v/>
      </c>
      <c r="BV200" s="33">
        <f>SUMPRODUCT(($E$5:$BJ$5="CO3")*(ISNUMBER(L200:BQ200))*(L200:BQ200&gt;0), L200:BQ200)</f>
        <v/>
      </c>
      <c r="BW200" s="33">
        <f>SUMPRODUCT(($E$5:$BJ$5="CO4")*(ISNUMBER(L200:BQ200))*(L200:BQ200&gt;0), L200:BQ200)</f>
        <v/>
      </c>
      <c r="BX200" s="33">
        <f>SUMPRODUCT(($E$5:$BJ$5="CO5")*(ISNUMBER(L200:BQ200))*(L200:BQ200&gt;0), L200:BQ200)</f>
        <v/>
      </c>
      <c r="BY200" s="33">
        <f>SUMPRODUCT(($E$5:$BJ$5="CO6")*(ISNUMBER(L200:BQ200))*(L200:BQ200&gt;0), L200:BQ200)</f>
        <v/>
      </c>
      <c r="BZ200" s="33">
        <f>SUM(BT200:BY200)</f>
        <v/>
      </c>
      <c r="CB200" s="38">
        <f>BT200/$BM$7*100</f>
        <v/>
      </c>
      <c r="CC200" s="38">
        <f>BU200/$BN$7*100</f>
        <v/>
      </c>
      <c r="CD200" s="38">
        <f>BV200/$BO$7*100</f>
        <v/>
      </c>
      <c r="CE200" s="38">
        <f>BW200/$BP$7*100</f>
        <v/>
      </c>
      <c r="CF200" s="38">
        <f>BX200/$BQ$7*100</f>
        <v/>
      </c>
      <c r="CG200" s="38">
        <f>BY200/$BR$7*100</f>
        <v/>
      </c>
    </row>
  </sheetData>
  <mergeCells count="12">
    <mergeCell ref="CB4:CG4"/>
    <mergeCell ref="AA3:AR3"/>
    <mergeCell ref="E3:Y3"/>
    <mergeCell ref="BL4:BQ4"/>
    <mergeCell ref="Q4:X4"/>
    <mergeCell ref="BT1:BZ4"/>
    <mergeCell ref="K4:P4"/>
    <mergeCell ref="E4:J4"/>
    <mergeCell ref="AA4:AF4"/>
    <mergeCell ref="BD4:BI4"/>
    <mergeCell ref="AG4:AL4"/>
    <mergeCell ref="AM4:AT4"/>
  </mergeCells>
  <conditionalFormatting sqref="E8:Q200">
    <cfRule type="cellIs" priority="12" operator="greaterThan" dxfId="0">
      <formula>E$7</formula>
    </cfRule>
  </conditionalFormatting>
  <conditionalFormatting sqref="Q8:R200">
    <cfRule type="cellIs" priority="11" operator="greaterThan" dxfId="0">
      <formula>$Q$7</formula>
    </cfRule>
  </conditionalFormatting>
  <conditionalFormatting sqref="S8:T200">
    <cfRule type="cellIs" priority="10" operator="greaterThan" dxfId="0">
      <formula>$S$7</formula>
    </cfRule>
  </conditionalFormatting>
  <conditionalFormatting sqref="U8:X200">
    <cfRule type="cellIs" priority="9" operator="greaterThan" dxfId="0">
      <formula>$U$7</formula>
    </cfRule>
  </conditionalFormatting>
  <conditionalFormatting sqref="Y88:Y200">
    <cfRule type="cellIs" priority="8" operator="greaterThan" dxfId="0">
      <formula>$Y$7</formula>
    </cfRule>
  </conditionalFormatting>
  <conditionalFormatting sqref="AA8:AM200">
    <cfRule type="cellIs" priority="7" operator="greaterThan" dxfId="0">
      <formula>AA$7</formula>
    </cfRule>
  </conditionalFormatting>
  <conditionalFormatting sqref="AM8:AN200">
    <cfRule type="cellIs" priority="6" operator="greaterThan" dxfId="0">
      <formula>$Q$7</formula>
    </cfRule>
  </conditionalFormatting>
  <conditionalFormatting sqref="AO8:AP200">
    <cfRule type="cellIs" priority="5" operator="greaterThan" dxfId="0">
      <formula>$S$7</formula>
    </cfRule>
  </conditionalFormatting>
  <conditionalFormatting sqref="AQ8:AT200">
    <cfRule type="cellIs" priority="4" operator="greaterThan" dxfId="0">
      <formula>$U$7</formula>
    </cfRule>
  </conditionalFormatting>
  <conditionalFormatting sqref="AU193:AU200">
    <cfRule type="cellIs" priority="3" operator="greaterThan" dxfId="0">
      <formula>$Y$7</formula>
    </cfRule>
  </conditionalFormatting>
  <conditionalFormatting sqref="BD78:BI131 BG8:BI77">
    <cfRule type="cellIs" priority="2" operator="greaterThan" dxfId="0">
      <formula>BD$7</formula>
    </cfRule>
  </conditionalFormatting>
  <conditionalFormatting sqref="BL8:BQ112">
    <cfRule type="cellIs" priority="1" operator="greaterThan" dxfId="0">
      <formula>BL$7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Admin-165</dc:creator>
  <dcterms:created xmlns:dcterms="http://purl.org/dc/terms/" xmlns:xsi="http://www.w3.org/2001/XMLSchema-instance" xsi:type="dcterms:W3CDTF">2025-08-19T03:45:10Z</dcterms:created>
  <dcterms:modified xmlns:dcterms="http://purl.org/dc/terms/" xmlns:xsi="http://www.w3.org/2001/XMLSchema-instance" xsi:type="dcterms:W3CDTF">2026-03-19T07:56:26Z</dcterms:modified>
  <cp:lastModifiedBy>muthu kumaran</cp:lastModifiedBy>
</cp:coreProperties>
</file>